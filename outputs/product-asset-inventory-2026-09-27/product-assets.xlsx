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0ad53870b640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d4253973357c45cf"/>
    <x:sheet xmlns:r="http://schemas.openxmlformats.org/officeDocument/2006/relationships" name="Production assets" sheetId="2" r:id="R6379d0a1d9ab4e3e"/>
    <x:sheet xmlns:r="http://schemas.openxmlformats.org/officeDocument/2006/relationships" name="All placements" sheetId="3" r:id="R0ecfeb3094e845ed"/>
    <x:sheet xmlns:r="http://schemas.openxmlformats.org/officeDocument/2006/relationships" name="01 Platform" sheetId="4" r:id="R96383369ed544f02"/>
    <x:sheet xmlns:r="http://schemas.openxmlformats.org/officeDocument/2006/relationships" name="02 Integrations" sheetId="5" r:id="Rff48512445f94675"/>
    <x:sheet xmlns:r="http://schemas.openxmlformats.org/officeDocument/2006/relationships" name="03 Agentic Workflows" sheetId="6" r:id="R4d124a4a2eed4b66"/>
    <x:sheet xmlns:r="http://schemas.openxmlformats.org/officeDocument/2006/relationships" name="04 Agent OS" sheetId="7" r:id="R221aaeeb4c0a481d"/>
    <x:sheet xmlns:r="http://schemas.openxmlformats.org/officeDocument/2006/relationships" name="05 AI Agents" sheetId="8" r:id="R42ff876079b9497b"/>
    <x:sheet xmlns:r="http://schemas.openxmlformats.org/officeDocument/2006/relationships" name="06 Agent Studio" sheetId="9" r:id="R6a5e9e2fdf164fa5"/>
    <x:sheet xmlns:r="http://schemas.openxmlformats.org/officeDocument/2006/relationships" name="07 Agent Skills" sheetId="10" r:id="R04bf77640c2c4f54"/>
    <x:sheet xmlns:r="http://schemas.openxmlformats.org/officeDocument/2006/relationships" name="08 Files &amp; Documents" sheetId="11" r:id="Rb0464d906bc4416b"/>
    <x:sheet xmlns:r="http://schemas.openxmlformats.org/officeDocument/2006/relationships" name="09 AI Website Builder" sheetId="12" r:id="R41c8ecf5bc7c46dd"/>
    <x:sheet xmlns:r="http://schemas.openxmlformats.org/officeDocument/2006/relationships" name="10 Databases" sheetId="13" r:id="R0adaaaa81e264565"/>
    <x:sheet xmlns:r="http://schemas.openxmlformats.org/officeDocument/2006/relationships" name="11 Agentic Automation" sheetId="14" r:id="R9bbb620b9cad4dd4"/>
    <x:sheet xmlns:r="http://schemas.openxmlformats.org/officeDocument/2006/relationships" name="12 Self Learning" sheetId="15" r:id="R3fd4a1786c8848d4"/>
    <x:sheet xmlns:r="http://schemas.openxmlformats.org/officeDocument/2006/relationships" name="13 Evaluations" sheetId="16" r:id="R66ca3e51e2434860"/>
    <x:sheet xmlns:r="http://schemas.openxmlformats.org/officeDocument/2006/relationships" name="14 Analytics" sheetId="17" r:id="R54319633be684682"/>
    <x:sheet xmlns:r="http://schemas.openxmlformats.org/officeDocument/2006/relationships" name="15 Deployment Options" sheetId="18" r:id="Rd8b54f54f5de4eef"/>
    <x:sheet xmlns:r="http://schemas.openxmlformats.org/officeDocument/2006/relationships" name="16 Security" sheetId="19" r:id="Racfda58b447b44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0"/>
      <x:color rgb="FF071A31"/>
      <x:name val="Arial"/>
    </x:font>
    <x:font>
      <x:b/>
      <x:sz val="16"/>
      <x:color rgb="FF071A31"/>
      <x:name val="Arial"/>
    </x:font>
    <x:font>
      <x:sz val="10"/>
      <x:color rgb="FF536578"/>
      <x:name val="Arial"/>
    </x:font>
    <x:font>
      <x:b/>
      <x:sz val="10"/>
      <x:color rgb="FFFFFFFF"/>
      <x:name val="Arial"/>
    </x:font>
    <x:font>
      <x:b/>
      <x:sz val="12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71A31"/>
      </x:patternFill>
    </x:fill>
    <x:fill>
      <x:patternFill patternType="solid">
        <x:fgColor rgb="FFEFF3F7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485b8434324e0b" /><Relationship Type="http://schemas.openxmlformats.org/officeDocument/2006/relationships/theme" Target="/xl/theme/theme1.xml" Id="R6b520704c9d64740" /><Relationship Type="http://schemas.openxmlformats.org/officeDocument/2006/relationships/sharedStrings" Target="/xl/sharedStrings.xml" Id="Ra29419e6e8a64a4a" /><Relationship Type="http://schemas.openxmlformats.org/officeDocument/2006/relationships/worksheet" Target="/xl/worksheets/sheet1.xml" Id="Rd4253973357c45cf" /><Relationship Type="http://schemas.openxmlformats.org/officeDocument/2006/relationships/worksheet" Target="/xl/worksheets/sheet2.xml" Id="R6379d0a1d9ab4e3e" /><Relationship Type="http://schemas.openxmlformats.org/officeDocument/2006/relationships/worksheet" Target="/xl/worksheets/sheet3.xml" Id="R0ecfeb3094e845ed" /><Relationship Type="http://schemas.openxmlformats.org/officeDocument/2006/relationships/worksheet" Target="/xl/worksheets/sheet4.xml" Id="R96383369ed544f02" /><Relationship Type="http://schemas.openxmlformats.org/officeDocument/2006/relationships/worksheet" Target="/xl/worksheets/sheet5.xml" Id="Rff48512445f94675" /><Relationship Type="http://schemas.openxmlformats.org/officeDocument/2006/relationships/worksheet" Target="/xl/worksheets/sheet6.xml" Id="R4d124a4a2eed4b66" /><Relationship Type="http://schemas.openxmlformats.org/officeDocument/2006/relationships/worksheet" Target="/xl/worksheets/sheet7.xml" Id="R221aaeeb4c0a481d" /><Relationship Type="http://schemas.openxmlformats.org/officeDocument/2006/relationships/worksheet" Target="/xl/worksheets/sheet8.xml" Id="R42ff876079b9497b" /><Relationship Type="http://schemas.openxmlformats.org/officeDocument/2006/relationships/worksheet" Target="/xl/worksheets/sheet9.xml" Id="R6a5e9e2fdf164fa5" /><Relationship Type="http://schemas.openxmlformats.org/officeDocument/2006/relationships/worksheet" Target="/xl/worksheets/sheet10.xml" Id="R04bf77640c2c4f54" /><Relationship Type="http://schemas.openxmlformats.org/officeDocument/2006/relationships/worksheet" Target="/xl/worksheets/sheet11.xml" Id="Rb0464d906bc4416b" /><Relationship Type="http://schemas.openxmlformats.org/officeDocument/2006/relationships/worksheet" Target="/xl/worksheets/sheet12.xml" Id="R41c8ecf5bc7c46dd" /><Relationship Type="http://schemas.openxmlformats.org/officeDocument/2006/relationships/worksheet" Target="/xl/worksheets/sheet13.xml" Id="R0adaaaa81e264565" /><Relationship Type="http://schemas.openxmlformats.org/officeDocument/2006/relationships/worksheet" Target="/xl/worksheets/sheet14.xml" Id="R9bbb620b9cad4dd4" /><Relationship Type="http://schemas.openxmlformats.org/officeDocument/2006/relationships/worksheet" Target="/xl/worksheets/sheet15.xml" Id="R3fd4a1786c8848d4" /><Relationship Type="http://schemas.openxmlformats.org/officeDocument/2006/relationships/worksheet" Target="/xl/worksheets/sheet16.xml" Id="R66ca3e51e2434860" /><Relationship Type="http://schemas.openxmlformats.org/officeDocument/2006/relationships/worksheet" Target="/xl/worksheets/sheet17.xml" Id="R54319633be684682" /><Relationship Type="http://schemas.openxmlformats.org/officeDocument/2006/relationships/worksheet" Target="/xl/worksheets/sheet18.xml" Id="Rd8b54f54f5de4eef" /><Relationship Type="http://schemas.openxmlformats.org/officeDocument/2006/relationships/worksheet" Target="/xl/worksheets/sheet19.xml" Id="Racfda58b447b443e" /></Relationships>
</file>

<file path=xl/tables/table1.xml><?xml version="1.0" encoding="utf-8"?>
<x:table xmlns:x="http://schemas.openxmlformats.org/spreadsheetml/2006/main" id="19" name="TOverview" displayName="TOverview" ref="A5:H21" headerRowCount="1" totalsRowCount="0" totalsRowShown="0">
  <x:autoFilter ref="A5:H21"/>
  <x:tableColumns count="8">
    <x:tableColumn id="1" name="Page"/>
    <x:tableColumn id="2" name="Design style"/>
    <x:tableColumn id="3" name="Placements"/>
    <x:tableColumn id="4" name="Assets used"/>
    <x:tableColumn id="5" name="Create"/>
    <x:tableColumn id="6" name="Rework"/>
    <x:tableColumn id="7" name="Reuse"/>
    <x:tableColumn id="8" name="Page path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TProductionassets" displayName="TProductionassets" ref="A5:I126" headerRowCount="1" totalsRowCount="0" totalsRowShown="0">
  <x:autoFilter ref="A5:I126"/>
  <x:tableColumns count="9">
    <x:tableColumn id="1" name="Asset ID"/>
    <x:tableColumn id="2" name="Asset name"/>
    <x:tableColumn id="3" name="Recommended artwork"/>
    <x:tableColumn id="4" name="Action"/>
    <x:tableColumn id="5" name="Priority"/>
    <x:tableColumn id="6" name="Status"/>
    <x:tableColumn id="7" name="Placements"/>
    <x:tableColumn id="8" name="Pages"/>
    <x:tableColumn id="9" name="Required export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TAllplacements" displayName="TAllplacements" ref="A5:O304" headerRowCount="1" totalsRowCount="0" totalsRowShown="0">
  <x:autoFilter ref="A5:O304"/>
  <x:tableColumns count="15">
    <x:tableColumn id="1" name="Placement ID"/>
    <x:tableColumn id="2" name="Page"/>
    <x:tableColumn id="3" name="Section"/>
    <x:tableColumn id="4" name="Section title"/>
    <x:tableColumn id="5" name="Asset ID"/>
    <x:tableColumn id="6" name="Recommended artwork"/>
    <x:tableColumn id="7" name="Action"/>
    <x:tableColumn id="8" name="Status"/>
    <x:tableColumn id="9" name="Recommended deliverable"/>
    <x:tableColumn id="10" name="Current artwork"/>
    <x:tableColumn id="11" name="Current sources"/>
    <x:tableColumn id="12" name="Desktop size (px)"/>
    <x:tableColumn id="13" name="Gradient palette"/>
    <x:tableColumn id="14" name="Reuse and crop notes"/>
    <x:tableColumn id="15" name="Page re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T01Platform" displayName="T01Platform" ref="A5:O19" headerRowCount="1" totalsRowCount="0" totalsRowShown="0">
  <x:autoFilter ref="A5:O19"/>
  <x:tableColumns count="15">
    <x:tableColumn id="1" name="Placement ID"/>
    <x:tableColumn id="2" name="Page"/>
    <x:tableColumn id="3" name="Section"/>
    <x:tableColumn id="4" name="Section title"/>
    <x:tableColumn id="5" name="Asset ID"/>
    <x:tableColumn id="6" name="Recommended artwork"/>
    <x:tableColumn id="7" name="Action"/>
    <x:tableColumn id="8" name="Status"/>
    <x:tableColumn id="9" name="Recommended deliverable"/>
    <x:tableColumn id="10" name="Current artwork"/>
    <x:tableColumn id="11" name="Current sources"/>
    <x:tableColumn id="12" name="Desktop size (px)"/>
    <x:tableColumn id="13" name="Gradient palette"/>
    <x:tableColumn id="14" name="Reuse and crop notes"/>
    <x:tableColumn id="15" name="Page referenc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T02Integrations" displayName="T02Integrations" ref="A5:O11" headerRowCount="1" totalsRowCount="0" totalsRowShown="0">
  <x:autoFilter ref="A5:O11"/>
  <x:tableColumns count="15">
    <x:tableColumn id="1" name="Placement ID"/>
    <x:tableColumn id="2" name="Page"/>
    <x:tableColumn id="3" name="Section"/>
    <x:tableColumn id="4" name="Section title"/>
    <x:tableColumn id="5" name="Asset ID"/>
    <x:tableColumn id="6" name="Recommended artwork"/>
    <x:tableColumn id="7" name="Action"/>
    <x:tableColumn id="8" name="Status"/>
    <x:tableColumn id="9" name="Recommended deliverable"/>
    <x:tableColumn id="10" name="Current artwork"/>
    <x:tableColumn id="11" name="Current sources"/>
    <x:tableColumn id="12" name="Desktop size (px)"/>
    <x:tableColumn id="13" name="Gradient palette"/>
    <x:tableColumn id="14" name="Reuse and crop notes"/>
    <x:tableColumn id="15" name="Page referenc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5" name="T03AgenticWorkflows" displayName="T03AgenticWorkflows" ref="A5:O20" headerRowCount="1" totalsRowCount="0" totalsRowShown="0">
  <x:autoFilter ref="A5:O20"/>
  <x:tableColumns count="15">
    <x:tableColumn id="1" name="Placement ID"/>
    <x:tableColumn id="2" name="Page"/>
    <x:tableColumn id="3" name="Section"/>
    <x:tableColumn id="4" name="Section title"/>
    <x:tableColumn id="5" name="Asset ID"/>
    <x:tableColumn id="6" name="Recommended artwork"/>
    <x:tableColumn id="7" name="Action"/>
    <x:tableColumn id="8" name="Status"/>
    <x:tableColumn id="9" name="Recommended deliverable"/>
    <x:tableColumn id="10" name="Current artwork"/>
    <x:tableColumn id="11" name="Current sources"/>
    <x:tableColumn id="12" name="Desktop size (px)"/>
    <x:tableColumn id="13" name="Gradient palette"/>
    <x:tableColumn id="14" name="Reuse and crop notes"/>
    <x:tableColumn id="15" name="Page referenc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6" name="T04AgentOS" displayName="T04AgentOS" ref="A5:O29" headerRowCount="1" totalsRowCount="0" totalsRowShown="0">
  <x:autoFilter ref="A5:O29"/>
  <x:tableColumns count="15">
    <x:tableColumn id="1" name="Placement ID"/>
    <x:tableColumn id="2" name="Page"/>
    <x:tableColumn id="3" name="Section"/>
    <x:tableColumn id="4" name="Section title"/>
    <x:tableColumn id="5" name="Asset ID"/>
    <x:tableColumn id="6" name="Recommended artwork"/>
    <x:tableColumn id="7" name="Action"/>
    <x:tableColumn id="8" name="Status"/>
    <x:tableColumn id="9" name="Recommended deliverable"/>
    <x:tableColumn id="10" name="Current artwork"/>
    <x:tableColumn id="11" name="Current sources"/>
    <x:tableColumn id="12" name="Desktop size (px)"/>
    <x:tableColumn id="13" name="Gradient palette"/>
    <x:tableColumn id="14" name="Reuse and crop notes"/>
    <x:tableColumn id="15" name="Page referenc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7" name="T05AIAgents" displayName="T05AIAgents" ref="A5:O29" headerRowCount="1" totalsRowCount="0" totalsRowShown="0">
  <x:autoFilter ref="A5:O29"/>
  <x:tableColumns count="15">
    <x:tableColumn id="1" name="Placement ID"/>
    <x:tableColumn id="2" name="Page"/>
    <x:tableColumn id="3" name="Section"/>
    <x:tableColumn id="4" name="Section title"/>
    <x:tableColumn id="5" name="Asset ID"/>
    <x:tableColumn id="6" name="Recommended artwork"/>
    <x:tableColumn id="7" name="Action"/>
    <x:tableColumn id="8" name="Status"/>
    <x:tableColumn id="9" name="Recommended deliverable"/>
    <x:tableColumn id="10" name="Current artwork"/>
    <x:tableColumn id="11" name="Current sources"/>
    <x:tableColumn id="12" name="Desktop size (px)"/>
    <x:tableColumn id="13" name="Gradient palette"/>
    <x:tableColumn id="14" name="Reuse and crop notes"/>
    <x:tableColumn id="15" name="Page referenc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8" name="T06AgentStudio" displayName="T06AgentStudio" ref="A5:O29" headerRowCount="1" totalsRowCount="0" totalsRowShown="0">
  <x:autoFilter ref="A5:O29"/>
  <x:tableColumns count="15">
    <x:tableColumn id="1" name="Placement ID"/>
    <x:tableColumn id="2" name="Page"/>
    <x:tableColumn id="3" name="Section"/>
    <x:tableColumn id="4" name="Section title"/>
    <x:tableColumn id="5" name="Asset ID"/>
    <x:tableColumn id="6" name="Recommended artwork"/>
    <x:tableColumn id="7" name="Action"/>
    <x:tableColumn id="8" name="Status"/>
    <x:tableColumn id="9" name="Recommended deliverable"/>
    <x:tableColumn id="10" name="Current artwork"/>
    <x:tableColumn id="11" name="Current sources"/>
    <x:tableColumn id="12" name="Desktop size (px)"/>
    <x:tableColumn id="13" name="Gradient palette"/>
    <x:tableColumn id="14" name="Reuse and crop notes"/>
    <x:tableColumn id="15" name="Page referenc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9" name="T07AgentSkills" displayName="T07AgentSkills" ref="A5:O11" headerRowCount="1" totalsRowCount="0" totalsRowShown="0">
  <x:autoFilter ref="A5:O11"/>
  <x:tableColumns count="15">
    <x:tableColumn id="1" name="Placement ID"/>
    <x:tableColumn id="2" name="Page"/>
    <x:tableColumn id="3" name="Section"/>
    <x:tableColumn id="4" name="Section title"/>
    <x:tableColumn id="5" name="Asset ID"/>
    <x:tableColumn id="6" name="Recommended artwork"/>
    <x:tableColumn id="7" name="Action"/>
    <x:tableColumn id="8" name="Status"/>
    <x:tableColumn id="9" name="Recommended deliverable"/>
    <x:tableColumn id="10" name="Current artwork"/>
    <x:tableColumn id="11" name="Current sources"/>
    <x:tableColumn id="12" name="Desktop size (px)"/>
    <x:tableColumn id="13" name="Gradient palette"/>
    <x:tableColumn id="14" name="Reuse and crop notes"/>
    <x:tableColumn id="15" name="Page referenc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0" name="T08FilesDocuments" displayName="T08FilesDocuments" ref="A5:O20" headerRowCount="1" totalsRowCount="0" totalsRowShown="0">
  <x:autoFilter ref="A5:O20"/>
  <x:tableColumns count="15">
    <x:tableColumn id="1" name="Placement ID"/>
    <x:tableColumn id="2" name="Page"/>
    <x:tableColumn id="3" name="Section"/>
    <x:tableColumn id="4" name="Section title"/>
    <x:tableColumn id="5" name="Asset ID"/>
    <x:tableColumn id="6" name="Recommended artwork"/>
    <x:tableColumn id="7" name="Action"/>
    <x:tableColumn id="8" name="Status"/>
    <x:tableColumn id="9" name="Recommended deliverable"/>
    <x:tableColumn id="10" name="Current artwork"/>
    <x:tableColumn id="11" name="Current sources"/>
    <x:tableColumn id="12" name="Desktop size (px)"/>
    <x:tableColumn id="13" name="Gradient palette"/>
    <x:tableColumn id="14" name="Reuse and crop notes"/>
    <x:tableColumn id="15" name="Page referenc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1" name="T09AIWebsiteBuilder" displayName="T09AIWebsiteBuilder" ref="A5:O20" headerRowCount="1" totalsRowCount="0" totalsRowShown="0">
  <x:autoFilter ref="A5:O20"/>
  <x:tableColumns count="15">
    <x:tableColumn id="1" name="Placement ID"/>
    <x:tableColumn id="2" name="Page"/>
    <x:tableColumn id="3" name="Section"/>
    <x:tableColumn id="4" name="Section title"/>
    <x:tableColumn id="5" name="Asset ID"/>
    <x:tableColumn id="6" name="Recommended artwork"/>
    <x:tableColumn id="7" name="Action"/>
    <x:tableColumn id="8" name="Status"/>
    <x:tableColumn id="9" name="Recommended deliverable"/>
    <x:tableColumn id="10" name="Current artwork"/>
    <x:tableColumn id="11" name="Current sources"/>
    <x:tableColumn id="12" name="Desktop size (px)"/>
    <x:tableColumn id="13" name="Gradient palette"/>
    <x:tableColumn id="14" name="Reuse and crop notes"/>
    <x:tableColumn id="15" name="Page reference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2" name="T10Databases" displayName="T10Databases" ref="A5:O23" headerRowCount="1" totalsRowCount="0" totalsRowShown="0">
  <x:autoFilter ref="A5:O23"/>
  <x:tableColumns count="15">
    <x:tableColumn id="1" name="Placement ID"/>
    <x:tableColumn id="2" name="Page"/>
    <x:tableColumn id="3" name="Section"/>
    <x:tableColumn id="4" name="Section title"/>
    <x:tableColumn id="5" name="Asset ID"/>
    <x:tableColumn id="6" name="Recommended artwork"/>
    <x:tableColumn id="7" name="Action"/>
    <x:tableColumn id="8" name="Status"/>
    <x:tableColumn id="9" name="Recommended deliverable"/>
    <x:tableColumn id="10" name="Current artwork"/>
    <x:tableColumn id="11" name="Current sources"/>
    <x:tableColumn id="12" name="Desktop size (px)"/>
    <x:tableColumn id="13" name="Gradient palette"/>
    <x:tableColumn id="14" name="Reuse and crop notes"/>
    <x:tableColumn id="15" name="Page reference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3" name="T11AgenticAutomation" displayName="T11AgenticAutomation" ref="A5:O28" headerRowCount="1" totalsRowCount="0" totalsRowShown="0">
  <x:autoFilter ref="A5:O28"/>
  <x:tableColumns count="15">
    <x:tableColumn id="1" name="Placement ID"/>
    <x:tableColumn id="2" name="Page"/>
    <x:tableColumn id="3" name="Section"/>
    <x:tableColumn id="4" name="Section title"/>
    <x:tableColumn id="5" name="Asset ID"/>
    <x:tableColumn id="6" name="Recommended artwork"/>
    <x:tableColumn id="7" name="Action"/>
    <x:tableColumn id="8" name="Status"/>
    <x:tableColumn id="9" name="Recommended deliverable"/>
    <x:tableColumn id="10" name="Current artwork"/>
    <x:tableColumn id="11" name="Current sources"/>
    <x:tableColumn id="12" name="Desktop size (px)"/>
    <x:tableColumn id="13" name="Gradient palette"/>
    <x:tableColumn id="14" name="Reuse and crop notes"/>
    <x:tableColumn id="15" name="Page reference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4" name="T12SelfLearning" displayName="T12SelfLearning" ref="A5:O28" headerRowCount="1" totalsRowCount="0" totalsRowShown="0">
  <x:autoFilter ref="A5:O28"/>
  <x:tableColumns count="15">
    <x:tableColumn id="1" name="Placement ID"/>
    <x:tableColumn id="2" name="Page"/>
    <x:tableColumn id="3" name="Section"/>
    <x:tableColumn id="4" name="Section title"/>
    <x:tableColumn id="5" name="Asset ID"/>
    <x:tableColumn id="6" name="Recommended artwork"/>
    <x:tableColumn id="7" name="Action"/>
    <x:tableColumn id="8" name="Status"/>
    <x:tableColumn id="9" name="Recommended deliverable"/>
    <x:tableColumn id="10" name="Current artwork"/>
    <x:tableColumn id="11" name="Current sources"/>
    <x:tableColumn id="12" name="Desktop size (px)"/>
    <x:tableColumn id="13" name="Gradient palette"/>
    <x:tableColumn id="14" name="Reuse and crop notes"/>
    <x:tableColumn id="15" name="Page reference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5" name="T13Evaluations" displayName="T13Evaluations" ref="A5:O28" headerRowCount="1" totalsRowCount="0" totalsRowShown="0">
  <x:autoFilter ref="A5:O28"/>
  <x:tableColumns count="15">
    <x:tableColumn id="1" name="Placement ID"/>
    <x:tableColumn id="2" name="Page"/>
    <x:tableColumn id="3" name="Section"/>
    <x:tableColumn id="4" name="Section title"/>
    <x:tableColumn id="5" name="Asset ID"/>
    <x:tableColumn id="6" name="Recommended artwork"/>
    <x:tableColumn id="7" name="Action"/>
    <x:tableColumn id="8" name="Status"/>
    <x:tableColumn id="9" name="Recommended deliverable"/>
    <x:tableColumn id="10" name="Current artwork"/>
    <x:tableColumn id="11" name="Current sources"/>
    <x:tableColumn id="12" name="Desktop size (px)"/>
    <x:tableColumn id="13" name="Gradient palette"/>
    <x:tableColumn id="14" name="Reuse and crop notes"/>
    <x:tableColumn id="15" name="Page reference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6" name="T14Analytics" displayName="T14Analytics" ref="A5:O28" headerRowCount="1" totalsRowCount="0" totalsRowShown="0">
  <x:autoFilter ref="A5:O28"/>
  <x:tableColumns count="15">
    <x:tableColumn id="1" name="Placement ID"/>
    <x:tableColumn id="2" name="Page"/>
    <x:tableColumn id="3" name="Section"/>
    <x:tableColumn id="4" name="Section title"/>
    <x:tableColumn id="5" name="Asset ID"/>
    <x:tableColumn id="6" name="Recommended artwork"/>
    <x:tableColumn id="7" name="Action"/>
    <x:tableColumn id="8" name="Status"/>
    <x:tableColumn id="9" name="Recommended deliverable"/>
    <x:tableColumn id="10" name="Current artwork"/>
    <x:tableColumn id="11" name="Current sources"/>
    <x:tableColumn id="12" name="Desktop size (px)"/>
    <x:tableColumn id="13" name="Gradient palette"/>
    <x:tableColumn id="14" name="Reuse and crop notes"/>
    <x:tableColumn id="15" name="Page reference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7" name="T15DeploymentOptions" displayName="T15DeploymentOptions" ref="A5:O28" headerRowCount="1" totalsRowCount="0" totalsRowShown="0">
  <x:autoFilter ref="A5:O28"/>
  <x:tableColumns count="15">
    <x:tableColumn id="1" name="Placement ID"/>
    <x:tableColumn id="2" name="Page"/>
    <x:tableColumn id="3" name="Section"/>
    <x:tableColumn id="4" name="Section title"/>
    <x:tableColumn id="5" name="Asset ID"/>
    <x:tableColumn id="6" name="Recommended artwork"/>
    <x:tableColumn id="7" name="Action"/>
    <x:tableColumn id="8" name="Status"/>
    <x:tableColumn id="9" name="Recommended deliverable"/>
    <x:tableColumn id="10" name="Current artwork"/>
    <x:tableColumn id="11" name="Current sources"/>
    <x:tableColumn id="12" name="Desktop size (px)"/>
    <x:tableColumn id="13" name="Gradient palette"/>
    <x:tableColumn id="14" name="Reuse and crop notes"/>
    <x:tableColumn id="15" name="Page reference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8" name="T16Security" displayName="T16Security" ref="A5:O28" headerRowCount="1" totalsRowCount="0" totalsRowShown="0">
  <x:autoFilter ref="A5:O28"/>
  <x:tableColumns count="15">
    <x:tableColumn id="1" name="Placement ID"/>
    <x:tableColumn id="2" name="Page"/>
    <x:tableColumn id="3" name="Section"/>
    <x:tableColumn id="4" name="Section title"/>
    <x:tableColumn id="5" name="Asset ID"/>
    <x:tableColumn id="6" name="Recommended artwork"/>
    <x:tableColumn id="7" name="Action"/>
    <x:tableColumn id="8" name="Status"/>
    <x:tableColumn id="9" name="Recommended deliverable"/>
    <x:tableColumn id="10" name="Current artwork"/>
    <x:tableColumn id="11" name="Current sources"/>
    <x:tableColumn id="12" name="Desktop size (px)"/>
    <x:tableColumn id="13" name="Gradient palette"/>
    <x:tableColumn id="14" name="Reuse and crop notes"/>
    <x:tableColumn id="15" name="Page refer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d1fcbff7be74e0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7546c3a67ee441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bc0c784c3b3449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4d30a7ccb54498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f24fcbc47e7408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3968b0ea72a442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1f711f38c192489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1598c1d9f6d2462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c346f48acf8a41f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f1144964605f462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369761ac3e10479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f9caa0490c6f4ea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dfa256a66be540bc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fa1437b1d9004561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8986dbb353c54ec7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d3abe13033e54a5d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28a1b4077fc34add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e78f1f21978141bb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f99bbf45bb8f403e" /></Relationships>
</file>

<file path=xl/worksheets/sheet1.xml><?xml version="1.0" encoding="utf-8"?>
<x:worksheet xmlns:x="http://schemas.openxmlformats.org/spreadsheetml/2006/main">
  <x:sheetPr>
    <x:tabColor rgb="FF071A31"/>
  </x:sheetPr>
  <x:sheetViews>
    <x:sheetView showGridLines="0" workbookViewId="0"/>
  </x:sheetViews>
  <x:sheetFormatPr defaultRowHeight="15"/>
  <x:cols>
    <x:col min="1" max="1" width="36" hidden="0" customWidth="1"/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5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>
      <x:c r="A2" s="2" t="str">
        <x:v>Product artwork inventory</x:v>
      </x:c>
      <x:c r="B2" s="1"/>
      <x:c r="C2" s="1"/>
      <x:c r="D2" s="1"/>
      <x:c r="E2" s="1"/>
      <x:c r="F2" s="1"/>
      <x:c r="G2" s="1"/>
      <x:c r="H2" s="1"/>
    </x:row>
    <x:row r="3">
      <x:c r="A3" s="3" t="str">
        <x:v>27 Sep 2026. Current local pages. Counts distinguish placements from unique production assets.</x:v>
      </x:c>
      <x:c r="B3" s="1"/>
      <x:c r="C3" s="1"/>
      <x:c r="D3" s="1"/>
      <x:c r="E3" s="1"/>
      <x:c r="F3" s="1"/>
      <x:c r="G3" s="1"/>
      <x:c r="H3" s="1"/>
    </x:row>
    <x:row r="4">
      <x:c r="A4" s="1"/>
      <x:c r="B4" s="1"/>
      <x:c r="C4" s="1"/>
      <x:c r="D4" s="1"/>
      <x:c r="E4" s="1"/>
      <x:c r="F4" s="1"/>
      <x:c r="G4" s="1"/>
      <x:c r="H4" s="1"/>
    </x:row>
    <x:row r="5" ht="30" customHeight="1">
      <x:c r="A5" s="9" t="str">
        <x:v>Page</x:v>
      </x:c>
      <x:c r="B5" s="9" t="str">
        <x:v>Design style</x:v>
      </x:c>
      <x:c r="C5" s="9" t="str">
        <x:v>Placements</x:v>
      </x:c>
      <x:c r="D5" s="9" t="str">
        <x:v>Assets used</x:v>
      </x:c>
      <x:c r="E5" s="9" t="str">
        <x:v>Create</x:v>
      </x:c>
      <x:c r="F5" s="9" t="str">
        <x:v>Rework</x:v>
      </x:c>
      <x:c r="G5" s="9" t="str">
        <x:v>Reuse</x:v>
      </x:c>
      <x:c r="H5" s="9" t="str">
        <x:v>Page path</x:v>
      </x:c>
    </x:row>
    <x:row r="6" ht="32" customHeight="1">
      <x:c r="A6" s="5" t="str">
        <x:v>Platform</x:v>
      </x:c>
      <x:c r="B6" s="5" t="str">
        <x:v>Assistant</x:v>
      </x:c>
      <x:c r="C6" s="5" t="n">
        <x:v>14</x:v>
      </x:c>
      <x:c r="D6" s="5" t="n">
        <x:v>13</x:v>
      </x:c>
      <x:c r="E6" s="5" t="n">
        <x:f>COUNTIFS('Production assets'!D6,"Create")+COUNTIFS('Production assets'!D7,"Create")+COUNTIFS('Production assets'!D8,"Create")+COUNTIFS('Production assets'!D9,"Create")+COUNTIFS('Production assets'!D10,"Create")+COUNTIFS('Production assets'!D11,"Create")+COUNTIFS('Production assets'!D12,"Create")+COUNTIFS('Production assets'!D13,"Create")+COUNTIFS('Production assets'!D14,"Create")+COUNTIFS('Production assets'!D15,"Create")+COUNTIFS('Production assets'!D16,"Create")+COUNTIFS('Production assets'!D17,"Create")+COUNTIFS('Production assets'!D18,"Create")</x:f>
        <x:v>11</x:v>
      </x:c>
      <x:c r="F6" s="5" t="n">
        <x:f>COUNTIFS('Production assets'!D6,"Rework")+COUNTIFS('Production assets'!D7,"Rework")+COUNTIFS('Production assets'!D8,"Rework")+COUNTIFS('Production assets'!D9,"Rework")+COUNTIFS('Production assets'!D10,"Rework")+COUNTIFS('Production assets'!D11,"Rework")+COUNTIFS('Production assets'!D12,"Rework")+COUNTIFS('Production assets'!D13,"Rework")+COUNTIFS('Production assets'!D14,"Rework")+COUNTIFS('Production assets'!D15,"Rework")+COUNTIFS('Production assets'!D16,"Rework")+COUNTIFS('Production assets'!D17,"Rework")+COUNTIFS('Production assets'!D18,"Rework")</x:f>
        <x:v>0</x:v>
      </x:c>
      <x:c r="G6" s="5" t="n">
        <x:f>COUNTIFS('Production assets'!D6,"Reuse")+COUNTIFS('Production assets'!D7,"Reuse")+COUNTIFS('Production assets'!D8,"Reuse")+COUNTIFS('Production assets'!D9,"Reuse")+COUNTIFS('Production assets'!D10,"Reuse")+COUNTIFS('Production assets'!D11,"Reuse")+COUNTIFS('Production assets'!D12,"Reuse")+COUNTIFS('Production assets'!D13,"Reuse")+COUNTIFS('Production assets'!D14,"Reuse")+COUNTIFS('Production assets'!D15,"Reuse")+COUNTIFS('Production assets'!D16,"Reuse")+COUNTIFS('Production assets'!D17,"Reuse")+COUNTIFS('Production assets'!D18,"Reuse")</x:f>
        <x:v>2</x:v>
      </x:c>
      <x:c r="H6" s="5" t="str">
        <x:v>/platform</x:v>
      </x:c>
    </x:row>
    <x:row r="7" ht="32" customHeight="1">
      <x:c r="A7" s="10" t="str">
        <x:v>Integrations</x:v>
      </x:c>
      <x:c r="B7" s="10" t="str">
        <x:v>Scheduling</x:v>
      </x:c>
      <x:c r="C7" s="10" t="n">
        <x:v>6</x:v>
      </x:c>
      <x:c r="D7" s="10" t="n">
        <x:v>6</x:v>
      </x:c>
      <x:c r="E7" s="10" t="n">
        <x:f>COUNTIFS('Production assets'!D19,"Create")+COUNTIFS('Production assets'!D20,"Create")+COUNTIFS('Production assets'!D15,"Create")+COUNTIFS('Production assets'!D16,"Create")+COUNTIFS('Production assets'!D17,"Create")+COUNTIFS('Production assets'!D18,"Create")</x:f>
        <x:v>5</x:v>
      </x:c>
      <x:c r="F7" s="10" t="n">
        <x:f>COUNTIFS('Production assets'!D19,"Rework")+COUNTIFS('Production assets'!D20,"Rework")+COUNTIFS('Production assets'!D15,"Rework")+COUNTIFS('Production assets'!D16,"Rework")+COUNTIFS('Production assets'!D17,"Rework")+COUNTIFS('Production assets'!D18,"Rework")</x:f>
        <x:v>0</x:v>
      </x:c>
      <x:c r="G7" s="10" t="n">
        <x:f>COUNTIFS('Production assets'!D19,"Reuse")+COUNTIFS('Production assets'!D20,"Reuse")+COUNTIFS('Production assets'!D15,"Reuse")+COUNTIFS('Production assets'!D16,"Reuse")+COUNTIFS('Production assets'!D17,"Reuse")+COUNTIFS('Production assets'!D18,"Reuse")</x:f>
        <x:v>1</x:v>
      </x:c>
      <x:c r="H7" s="10" t="str">
        <x:v>/integrations</x:v>
      </x:c>
    </x:row>
    <x:row r="8" ht="32" customHeight="1">
      <x:c r="A8" s="5" t="str">
        <x:v>Agentic Workflows</x:v>
      </x:c>
      <x:c r="B8" s="5" t="str">
        <x:v>Notetaker</x:v>
      </x:c>
      <x:c r="C8" s="5" t="n">
        <x:v>15</x:v>
      </x:c>
      <x:c r="D8" s="5" t="n">
        <x:v>14</x:v>
      </x:c>
      <x:c r="E8" s="5" t="n">
        <x:f>COUNTIFS('Production assets'!D21,"Create")+COUNTIFS('Production assets'!D22,"Create")+COUNTIFS('Production assets'!D23,"Create")+COUNTIFS('Production assets'!D24,"Create")+COUNTIFS('Production assets'!D25,"Create")+COUNTIFS('Production assets'!D26,"Create")+COUNTIFS('Production assets'!D27,"Create")+COUNTIFS('Production assets'!D28,"Create")+COUNTIFS('Production assets'!D29,"Create")+COUNTIFS('Production assets'!D20,"Create")+COUNTIFS('Production assets'!D11,"Create")+COUNTIFS('Production assets'!D16,"Create")+COUNTIFS('Production assets'!D17,"Create")+COUNTIFS('Production assets'!D18,"Create")</x:f>
        <x:v>8</x:v>
      </x:c>
      <x:c r="F8" s="5" t="n">
        <x:f>COUNTIFS('Production assets'!D21,"Rework")+COUNTIFS('Production assets'!D22,"Rework")+COUNTIFS('Production assets'!D23,"Rework")+COUNTIFS('Production assets'!D24,"Rework")+COUNTIFS('Production assets'!D25,"Rework")+COUNTIFS('Production assets'!D26,"Rework")+COUNTIFS('Production assets'!D27,"Rework")+COUNTIFS('Production assets'!D28,"Rework")+COUNTIFS('Production assets'!D29,"Rework")+COUNTIFS('Production assets'!D20,"Rework")+COUNTIFS('Production assets'!D11,"Rework")+COUNTIFS('Production assets'!D16,"Rework")+COUNTIFS('Production assets'!D17,"Rework")+COUNTIFS('Production assets'!D18,"Rework")</x:f>
        <x:v>5</x:v>
      </x:c>
      <x:c r="G8" s="5" t="n">
        <x:f>COUNTIFS('Production assets'!D21,"Reuse")+COUNTIFS('Production assets'!D22,"Reuse")+COUNTIFS('Production assets'!D23,"Reuse")+COUNTIFS('Production assets'!D24,"Reuse")+COUNTIFS('Production assets'!D25,"Reuse")+COUNTIFS('Production assets'!D26,"Reuse")+COUNTIFS('Production assets'!D27,"Reuse")+COUNTIFS('Production assets'!D28,"Reuse")+COUNTIFS('Production assets'!D29,"Reuse")+COUNTIFS('Production assets'!D20,"Reuse")+COUNTIFS('Production assets'!D11,"Reuse")+COUNTIFS('Production assets'!D16,"Reuse")+COUNTIFS('Production assets'!D17,"Reuse")+COUNTIFS('Production assets'!D18,"Reuse")</x:f>
        <x:v>1</x:v>
      </x:c>
      <x:c r="H8" s="5" t="str">
        <x:v>/products/agentic-workflows</x:v>
      </x:c>
    </x:row>
    <x:row r="9" ht="32" customHeight="1">
      <x:c r="A9" s="10" t="str">
        <x:v>Agent OS</x:v>
      </x:c>
      <x:c r="B9" s="10" t="str">
        <x:v>Contacts</x:v>
      </x:c>
      <x:c r="C9" s="10" t="n">
        <x:v>24</x:v>
      </x:c>
      <x:c r="D9" s="10" t="n">
        <x:v>15</x:v>
      </x:c>
      <x:c r="E9" s="10" t="n">
        <x:f>COUNTIFS('Production assets'!D30,"Create")+COUNTIFS('Production assets'!D31,"Create")+COUNTIFS('Production assets'!D32,"Create")+COUNTIFS('Production assets'!D33,"Create")+COUNTIFS('Production assets'!D34,"Create")+COUNTIFS('Production assets'!D35,"Create")+COUNTIFS('Production assets'!D36,"Create")+COUNTIFS('Production assets'!D37,"Create")+COUNTIFS('Production assets'!D38,"Create")+COUNTIFS('Production assets'!D14,"Create")+COUNTIFS('Production assets'!D20,"Create")+COUNTIFS('Production assets'!D11,"Create")+COUNTIFS('Production assets'!D15,"Create")+COUNTIFS('Production assets'!D17,"Create")+COUNTIFS('Production assets'!D18,"Create")</x:f>
        <x:v>13</x:v>
      </x:c>
      <x:c r="F9" s="10" t="n">
        <x:f>COUNTIFS('Production assets'!D30,"Rework")+COUNTIFS('Production assets'!D31,"Rework")+COUNTIFS('Production assets'!D32,"Rework")+COUNTIFS('Production assets'!D33,"Rework")+COUNTIFS('Production assets'!D34,"Rework")+COUNTIFS('Production assets'!D35,"Rework")+COUNTIFS('Production assets'!D36,"Rework")+COUNTIFS('Production assets'!D37,"Rework")+COUNTIFS('Production assets'!D38,"Rework")+COUNTIFS('Production assets'!D14,"Rework")+COUNTIFS('Production assets'!D20,"Rework")+COUNTIFS('Production assets'!D11,"Rework")+COUNTIFS('Production assets'!D15,"Rework")+COUNTIFS('Production assets'!D17,"Rework")+COUNTIFS('Production assets'!D18,"Rework")</x:f>
        <x:v>0</x:v>
      </x:c>
      <x:c r="G9" s="10" t="n">
        <x:f>COUNTIFS('Production assets'!D30,"Reuse")+COUNTIFS('Production assets'!D31,"Reuse")+COUNTIFS('Production assets'!D32,"Reuse")+COUNTIFS('Production assets'!D33,"Reuse")+COUNTIFS('Production assets'!D34,"Reuse")+COUNTIFS('Production assets'!D35,"Reuse")+COUNTIFS('Production assets'!D36,"Reuse")+COUNTIFS('Production assets'!D37,"Reuse")+COUNTIFS('Production assets'!D38,"Reuse")+COUNTIFS('Production assets'!D14,"Reuse")+COUNTIFS('Production assets'!D20,"Reuse")+COUNTIFS('Production assets'!D11,"Reuse")+COUNTIFS('Production assets'!D15,"Reuse")+COUNTIFS('Production assets'!D17,"Reuse")+COUNTIFS('Production assets'!D18,"Reuse")</x:f>
        <x:v>2</x:v>
      </x:c>
      <x:c r="H9" s="10" t="str">
        <x:v>/products/agent-os</x:v>
      </x:c>
    </x:row>
    <x:row r="10" ht="32" customHeight="1">
      <x:c r="A10" s="5" t="str">
        <x:v>AI Agents</x:v>
      </x:c>
      <x:c r="B10" s="5" t="str">
        <x:v>Payments</x:v>
      </x:c>
      <x:c r="C10" s="5" t="n">
        <x:v>24</x:v>
      </x:c>
      <x:c r="D10" s="5" t="n">
        <x:v>15</x:v>
      </x:c>
      <x:c r="E10" s="5" t="n">
        <x:f>COUNTIFS('Production assets'!D39,"Create")+COUNTIFS('Production assets'!D40,"Create")+COUNTIFS('Production assets'!D41,"Create")+COUNTIFS('Production assets'!D42,"Create")+COUNTIFS('Production assets'!D43,"Create")+COUNTIFS('Production assets'!D44,"Create")+COUNTIFS('Production assets'!D45,"Create")+COUNTIFS('Production assets'!D46,"Create")+COUNTIFS('Production assets'!D47,"Create")+COUNTIFS('Production assets'!D48,"Create")+COUNTIFS('Production assets'!D20,"Create")+COUNTIFS('Production assets'!D11,"Create")+COUNTIFS('Production assets'!D15,"Create")+COUNTIFS('Production assets'!D16,"Create")+COUNTIFS('Production assets'!D18,"Create")</x:f>
        <x:v>13</x:v>
      </x:c>
      <x:c r="F10" s="5" t="n">
        <x:f>COUNTIFS('Production assets'!D39,"Rework")+COUNTIFS('Production assets'!D40,"Rework")+COUNTIFS('Production assets'!D41,"Rework")+COUNTIFS('Production assets'!D42,"Rework")+COUNTIFS('Production assets'!D43,"Rework")+COUNTIFS('Production assets'!D44,"Rework")+COUNTIFS('Production assets'!D45,"Rework")+COUNTIFS('Production assets'!D46,"Rework")+COUNTIFS('Production assets'!D47,"Rework")+COUNTIFS('Production assets'!D48,"Rework")+COUNTIFS('Production assets'!D20,"Rework")+COUNTIFS('Production assets'!D11,"Rework")+COUNTIFS('Production assets'!D15,"Rework")+COUNTIFS('Production assets'!D16,"Rework")+COUNTIFS('Production assets'!D18,"Rework")</x:f>
        <x:v>0</x:v>
      </x:c>
      <x:c r="G10" s="5" t="n">
        <x:f>COUNTIFS('Production assets'!D39,"Reuse")+COUNTIFS('Production assets'!D40,"Reuse")+COUNTIFS('Production assets'!D41,"Reuse")+COUNTIFS('Production assets'!D42,"Reuse")+COUNTIFS('Production assets'!D43,"Reuse")+COUNTIFS('Production assets'!D44,"Reuse")+COUNTIFS('Production assets'!D45,"Reuse")+COUNTIFS('Production assets'!D46,"Reuse")+COUNTIFS('Production assets'!D47,"Reuse")+COUNTIFS('Production assets'!D48,"Reuse")+COUNTIFS('Production assets'!D20,"Reuse")+COUNTIFS('Production assets'!D11,"Reuse")+COUNTIFS('Production assets'!D15,"Reuse")+COUNTIFS('Production assets'!D16,"Reuse")+COUNTIFS('Production assets'!D18,"Reuse")</x:f>
        <x:v>2</x:v>
      </x:c>
      <x:c r="H10" s="5" t="str">
        <x:v>/products/ai-agents</x:v>
      </x:c>
    </x:row>
    <x:row r="11" ht="32" customHeight="1">
      <x:c r="A11" s="10" t="str">
        <x:v>Agent Studio</x:v>
      </x:c>
      <x:c r="B11" s="10" t="str">
        <x:v>Assistant</x:v>
      </x:c>
      <x:c r="C11" s="10" t="n">
        <x:v>24</x:v>
      </x:c>
      <x:c r="D11" s="10" t="n">
        <x:v>15</x:v>
      </x:c>
      <x:c r="E11" s="10" t="n">
        <x:f>COUNTIFS('Production assets'!D6,"Create")+COUNTIFS('Production assets'!D49,"Create")+COUNTIFS('Production assets'!D50,"Create")+COUNTIFS('Production assets'!D51,"Create")+COUNTIFS('Production assets'!D52,"Create")+COUNTIFS('Production assets'!D53,"Create")+COUNTIFS('Production assets'!D54,"Create")+COUNTIFS('Production assets'!D55,"Create")+COUNTIFS('Production assets'!D56,"Create")+COUNTIFS('Production assets'!D14,"Create")+COUNTIFS('Production assets'!D20,"Create")+COUNTIFS('Production assets'!D11,"Create")+COUNTIFS('Production assets'!D15,"Create")+COUNTIFS('Production assets'!D16,"Create")+COUNTIFS('Production assets'!D17,"Create")</x:f>
        <x:v>13</x:v>
      </x:c>
      <x:c r="F11" s="10" t="n">
        <x:f>COUNTIFS('Production assets'!D6,"Rework")+COUNTIFS('Production assets'!D49,"Rework")+COUNTIFS('Production assets'!D50,"Rework")+COUNTIFS('Production assets'!D51,"Rework")+COUNTIFS('Production assets'!D52,"Rework")+COUNTIFS('Production assets'!D53,"Rework")+COUNTIFS('Production assets'!D54,"Rework")+COUNTIFS('Production assets'!D55,"Rework")+COUNTIFS('Production assets'!D56,"Rework")+COUNTIFS('Production assets'!D14,"Rework")+COUNTIFS('Production assets'!D20,"Rework")+COUNTIFS('Production assets'!D11,"Rework")+COUNTIFS('Production assets'!D15,"Rework")+COUNTIFS('Production assets'!D16,"Rework")+COUNTIFS('Production assets'!D17,"Rework")</x:f>
        <x:v>0</x:v>
      </x:c>
      <x:c r="G11" s="10" t="n">
        <x:f>COUNTIFS('Production assets'!D6,"Reuse")+COUNTIFS('Production assets'!D49,"Reuse")+COUNTIFS('Production assets'!D50,"Reuse")+COUNTIFS('Production assets'!D51,"Reuse")+COUNTIFS('Production assets'!D52,"Reuse")+COUNTIFS('Production assets'!D53,"Reuse")+COUNTIFS('Production assets'!D54,"Reuse")+COUNTIFS('Production assets'!D55,"Reuse")+COUNTIFS('Production assets'!D56,"Reuse")+COUNTIFS('Production assets'!D14,"Reuse")+COUNTIFS('Production assets'!D20,"Reuse")+COUNTIFS('Production assets'!D11,"Reuse")+COUNTIFS('Production assets'!D15,"Reuse")+COUNTIFS('Production assets'!D16,"Reuse")+COUNTIFS('Production assets'!D17,"Reuse")</x:f>
        <x:v>2</x:v>
      </x:c>
      <x:c r="H11" s="10" t="str">
        <x:v>/products/agent-studio</x:v>
      </x:c>
    </x:row>
    <x:row r="12" ht="32" customHeight="1">
      <x:c r="A12" s="5" t="str">
        <x:v>Agent Skills</x:v>
      </x:c>
      <x:c r="B12" s="5" t="str">
        <x:v>Scheduling</x:v>
      </x:c>
      <x:c r="C12" s="5" t="n">
        <x:v>6</x:v>
      </x:c>
      <x:c r="D12" s="5" t="n">
        <x:v>6</x:v>
      </x:c>
      <x:c r="E12" s="5" t="n">
        <x:f>COUNTIFS('Production assets'!D19,"Create")+COUNTIFS('Production assets'!D20,"Create")+COUNTIFS('Production assets'!D11,"Create")+COUNTIFS('Production assets'!D15,"Create")+COUNTIFS('Production assets'!D16,"Create")+COUNTIFS('Production assets'!D17,"Create")</x:f>
        <x:v>5</x:v>
      </x:c>
      <x:c r="F12" s="5" t="n">
        <x:f>COUNTIFS('Production assets'!D19,"Rework")+COUNTIFS('Production assets'!D20,"Rework")+COUNTIFS('Production assets'!D11,"Rework")+COUNTIFS('Production assets'!D15,"Rework")+COUNTIFS('Production assets'!D16,"Rework")+COUNTIFS('Production assets'!D17,"Rework")</x:f>
        <x:v>0</x:v>
      </x:c>
      <x:c r="G12" s="5" t="n">
        <x:f>COUNTIFS('Production assets'!D19,"Reuse")+COUNTIFS('Production assets'!D20,"Reuse")+COUNTIFS('Production assets'!D11,"Reuse")+COUNTIFS('Production assets'!D15,"Reuse")+COUNTIFS('Production assets'!D16,"Reuse")+COUNTIFS('Production assets'!D17,"Reuse")</x:f>
        <x:v>1</x:v>
      </x:c>
      <x:c r="H12" s="5" t="str">
        <x:v>/skills</x:v>
      </x:c>
    </x:row>
    <x:row r="13" ht="32" customHeight="1">
      <x:c r="A13" s="10" t="str">
        <x:v>Files &amp; Documents</x:v>
      </x:c>
      <x:c r="B13" s="10" t="str">
        <x:v>Notetaker</x:v>
      </x:c>
      <x:c r="C13" s="10" t="n">
        <x:v>15</x:v>
      </x:c>
      <x:c r="D13" s="10" t="n">
        <x:v>14</x:v>
      </x:c>
      <x:c r="E13" s="10" t="n">
        <x:f>COUNTIFS('Production assets'!D21,"Create")+COUNTIFS('Production assets'!D57,"Create")+COUNTIFS('Production assets'!D58,"Create")+COUNTIFS('Production assets'!D59,"Create")+COUNTIFS('Production assets'!D60,"Create")+COUNTIFS('Production assets'!D61,"Create")+COUNTIFS('Production assets'!D62,"Create")+COUNTIFS('Production assets'!D63,"Create")+COUNTIFS('Production assets'!D64,"Create")+COUNTIFS('Production assets'!D20,"Create")+COUNTIFS('Production assets'!D11,"Create")+COUNTIFS('Production assets'!D15,"Create")+COUNTIFS('Production assets'!D16,"Create")+COUNTIFS('Production assets'!D17,"Create")</x:f>
        <x:v>8</x:v>
      </x:c>
      <x:c r="F13" s="10" t="n">
        <x:f>COUNTIFS('Production assets'!D21,"Rework")+COUNTIFS('Production assets'!D57,"Rework")+COUNTIFS('Production assets'!D58,"Rework")+COUNTIFS('Production assets'!D59,"Rework")+COUNTIFS('Production assets'!D60,"Rework")+COUNTIFS('Production assets'!D61,"Rework")+COUNTIFS('Production assets'!D62,"Rework")+COUNTIFS('Production assets'!D63,"Rework")+COUNTIFS('Production assets'!D64,"Rework")+COUNTIFS('Production assets'!D20,"Rework")+COUNTIFS('Production assets'!D11,"Rework")+COUNTIFS('Production assets'!D15,"Rework")+COUNTIFS('Production assets'!D16,"Rework")+COUNTIFS('Production assets'!D17,"Rework")</x:f>
        <x:v>5</x:v>
      </x:c>
      <x:c r="G13" s="10" t="n">
        <x:f>COUNTIFS('Production assets'!D21,"Reuse")+COUNTIFS('Production assets'!D57,"Reuse")+COUNTIFS('Production assets'!D58,"Reuse")+COUNTIFS('Production assets'!D59,"Reuse")+COUNTIFS('Production assets'!D60,"Reuse")+COUNTIFS('Production assets'!D61,"Reuse")+COUNTIFS('Production assets'!D62,"Reuse")+COUNTIFS('Production assets'!D63,"Reuse")+COUNTIFS('Production assets'!D64,"Reuse")+COUNTIFS('Production assets'!D20,"Reuse")+COUNTIFS('Production assets'!D11,"Reuse")+COUNTIFS('Production assets'!D15,"Reuse")+COUNTIFS('Production assets'!D16,"Reuse")+COUNTIFS('Production assets'!D17,"Reuse")</x:f>
        <x:v>1</x:v>
      </x:c>
      <x:c r="H13" s="10" t="str">
        <x:v>/files-and-documents</x:v>
      </x:c>
    </x:row>
    <x:row r="14" ht="32" customHeight="1">
      <x:c r="A14" s="5" t="str">
        <x:v>AI Website Builder</x:v>
      </x:c>
      <x:c r="B14" s="5" t="str">
        <x:v>Contacts</x:v>
      </x:c>
      <x:c r="C14" s="5" t="n">
        <x:v>15</x:v>
      </x:c>
      <x:c r="D14" s="5" t="n">
        <x:v>14</x:v>
      </x:c>
      <x:c r="E14" s="5" t="n">
        <x:f>COUNTIFS('Production assets'!D30,"Create")+COUNTIFS('Production assets'!D65,"Create")+COUNTIFS('Production assets'!D66,"Create")+COUNTIFS('Production assets'!D67,"Create")+COUNTIFS('Production assets'!D68,"Create")+COUNTIFS('Production assets'!D69,"Create")+COUNTIFS('Production assets'!D70,"Create")+COUNTIFS('Production assets'!D71,"Create")+COUNTIFS('Production assets'!D72,"Create")+COUNTIFS('Production assets'!D20,"Create")+COUNTIFS('Production assets'!D11,"Create")+COUNTIFS('Production assets'!D15,"Create")+COUNTIFS('Production assets'!D16,"Create")+COUNTIFS('Production assets'!D17,"Create")</x:f>
        <x:v>8</x:v>
      </x:c>
      <x:c r="F14" s="5" t="n">
        <x:f>COUNTIFS('Production assets'!D30,"Rework")+COUNTIFS('Production assets'!D65,"Rework")+COUNTIFS('Production assets'!D66,"Rework")+COUNTIFS('Production assets'!D67,"Rework")+COUNTIFS('Production assets'!D68,"Rework")+COUNTIFS('Production assets'!D69,"Rework")+COUNTIFS('Production assets'!D70,"Rework")+COUNTIFS('Production assets'!D71,"Rework")+COUNTIFS('Production assets'!D72,"Rework")+COUNTIFS('Production assets'!D20,"Rework")+COUNTIFS('Production assets'!D11,"Rework")+COUNTIFS('Production assets'!D15,"Rework")+COUNTIFS('Production assets'!D16,"Rework")+COUNTIFS('Production assets'!D17,"Rework")</x:f>
        <x:v>5</x:v>
      </x:c>
      <x:c r="G14" s="5" t="n">
        <x:f>COUNTIFS('Production assets'!D30,"Reuse")+COUNTIFS('Production assets'!D65,"Reuse")+COUNTIFS('Production assets'!D66,"Reuse")+COUNTIFS('Production assets'!D67,"Reuse")+COUNTIFS('Production assets'!D68,"Reuse")+COUNTIFS('Production assets'!D69,"Reuse")+COUNTIFS('Production assets'!D70,"Reuse")+COUNTIFS('Production assets'!D71,"Reuse")+COUNTIFS('Production assets'!D72,"Reuse")+COUNTIFS('Production assets'!D20,"Reuse")+COUNTIFS('Production assets'!D11,"Reuse")+COUNTIFS('Production assets'!D15,"Reuse")+COUNTIFS('Production assets'!D16,"Reuse")+COUNTIFS('Production assets'!D17,"Reuse")</x:f>
        <x:v>1</x:v>
      </x:c>
      <x:c r="H14" s="5" t="str">
        <x:v>/features/website</x:v>
      </x:c>
    </x:row>
    <x:row r="15" ht="32" customHeight="1">
      <x:c r="A15" s="10" t="str">
        <x:v>Databases</x:v>
      </x:c>
      <x:c r="B15" s="10" t="str">
        <x:v>Payments</x:v>
      </x:c>
      <x:c r="C15" s="10" t="n">
        <x:v>18</x:v>
      </x:c>
      <x:c r="D15" s="10" t="n">
        <x:v>12</x:v>
      </x:c>
      <x:c r="E15" s="10" t="n">
        <x:f>COUNTIFS('Production assets'!D39,"Create")+COUNTIFS('Production assets'!D73,"Create")+COUNTIFS('Production assets'!D74,"Create")+COUNTIFS('Production assets'!D75,"Create")+COUNTIFS('Production assets'!D76,"Create")+COUNTIFS('Production assets'!D77,"Create")+COUNTIFS('Production assets'!D78,"Create")+COUNTIFS('Production assets'!D20,"Create")+COUNTIFS('Production assets'!D11,"Create")+COUNTIFS('Production assets'!D15,"Create")+COUNTIFS('Production assets'!D16,"Create")+COUNTIFS('Production assets'!D17,"Create")</x:f>
        <x:v>10</x:v>
      </x:c>
      <x:c r="F15" s="10" t="n">
        <x:f>COUNTIFS('Production assets'!D39,"Rework")+COUNTIFS('Production assets'!D73,"Rework")+COUNTIFS('Production assets'!D74,"Rework")+COUNTIFS('Production assets'!D75,"Rework")+COUNTIFS('Production assets'!D76,"Rework")+COUNTIFS('Production assets'!D77,"Rework")+COUNTIFS('Production assets'!D78,"Rework")+COUNTIFS('Production assets'!D20,"Rework")+COUNTIFS('Production assets'!D11,"Rework")+COUNTIFS('Production assets'!D15,"Rework")+COUNTIFS('Production assets'!D16,"Rework")+COUNTIFS('Production assets'!D17,"Rework")</x:f>
        <x:v>0</x:v>
      </x:c>
      <x:c r="G15" s="10" t="n">
        <x:f>COUNTIFS('Production assets'!D39,"Reuse")+COUNTIFS('Production assets'!D73,"Reuse")+COUNTIFS('Production assets'!D74,"Reuse")+COUNTIFS('Production assets'!D75,"Reuse")+COUNTIFS('Production assets'!D76,"Reuse")+COUNTIFS('Production assets'!D77,"Reuse")+COUNTIFS('Production assets'!D78,"Reuse")+COUNTIFS('Production assets'!D20,"Reuse")+COUNTIFS('Production assets'!D11,"Reuse")+COUNTIFS('Production assets'!D15,"Reuse")+COUNTIFS('Production assets'!D16,"Reuse")+COUNTIFS('Production assets'!D17,"Reuse")</x:f>
        <x:v>2</x:v>
      </x:c>
      <x:c r="H15" s="10" t="str">
        <x:v>/products/databases</x:v>
      </x:c>
    </x:row>
    <x:row r="16" ht="32" customHeight="1">
      <x:c r="A16" s="5" t="str">
        <x:v>Agentic Automation</x:v>
      </x:c>
      <x:c r="B16" s="5" t="str">
        <x:v>Assistant</x:v>
      </x:c>
      <x:c r="C16" s="5" t="n">
        <x:v>23</x:v>
      </x:c>
      <x:c r="D16" s="5" t="n">
        <x:v>14</x:v>
      </x:c>
      <x:c r="E16" s="5" t="n">
        <x:f>COUNTIFS('Production assets'!D6,"Create")+COUNTIFS('Production assets'!D79,"Create")+COUNTIFS('Production assets'!D80,"Create")+COUNTIFS('Production assets'!D81,"Create")+COUNTIFS('Production assets'!D82,"Create")+COUNTIFS('Production assets'!D83,"Create")+COUNTIFS('Production assets'!D84,"Create")+COUNTIFS('Production assets'!D85,"Create")+COUNTIFS('Production assets'!D86,"Create")+COUNTIFS('Production assets'!D20,"Create")+COUNTIFS('Production assets'!D11,"Create")+COUNTIFS('Production assets'!D15,"Create")+COUNTIFS('Production assets'!D16,"Create")+COUNTIFS('Production assets'!D17,"Create")</x:f>
        <x:v>5</x:v>
      </x:c>
      <x:c r="F16" s="5" t="n">
        <x:f>COUNTIFS('Production assets'!D6,"Rework")+COUNTIFS('Production assets'!D79,"Rework")+COUNTIFS('Production assets'!D80,"Rework")+COUNTIFS('Production assets'!D81,"Rework")+COUNTIFS('Production assets'!D82,"Rework")+COUNTIFS('Production assets'!D83,"Rework")+COUNTIFS('Production assets'!D84,"Rework")+COUNTIFS('Production assets'!D85,"Rework")+COUNTIFS('Production assets'!D86,"Rework")+COUNTIFS('Production assets'!D20,"Rework")+COUNTIFS('Production assets'!D11,"Rework")+COUNTIFS('Production assets'!D15,"Rework")+COUNTIFS('Production assets'!D16,"Rework")+COUNTIFS('Production assets'!D17,"Rework")</x:f>
        <x:v>8</x:v>
      </x:c>
      <x:c r="G16" s="5" t="n">
        <x:f>COUNTIFS('Production assets'!D6,"Reuse")+COUNTIFS('Production assets'!D79,"Reuse")+COUNTIFS('Production assets'!D80,"Reuse")+COUNTIFS('Production assets'!D81,"Reuse")+COUNTIFS('Production assets'!D82,"Reuse")+COUNTIFS('Production assets'!D83,"Reuse")+COUNTIFS('Production assets'!D84,"Reuse")+COUNTIFS('Production assets'!D85,"Reuse")+COUNTIFS('Production assets'!D86,"Reuse")+COUNTIFS('Production assets'!D20,"Reuse")+COUNTIFS('Production assets'!D11,"Reuse")+COUNTIFS('Production assets'!D15,"Reuse")+COUNTIFS('Production assets'!D16,"Reuse")+COUNTIFS('Production assets'!D17,"Reuse")</x:f>
        <x:v>1</x:v>
      </x:c>
      <x:c r="H16" s="5" t="str">
        <x:v>/platform/agentic-automation</x:v>
      </x:c>
    </x:row>
    <x:row r="17" ht="32" customHeight="1">
      <x:c r="A17" s="10" t="str">
        <x:v>Self Learning</x:v>
      </x:c>
      <x:c r="B17" s="10" t="str">
        <x:v>Scheduling</x:v>
      </x:c>
      <x:c r="C17" s="10" t="n">
        <x:v>23</x:v>
      </x:c>
      <x:c r="D17" s="10" t="n">
        <x:v>14</x:v>
      </x:c>
      <x:c r="E17" s="10" t="n">
        <x:f>COUNTIFS('Production assets'!D19,"Create")+COUNTIFS('Production assets'!D87,"Create")+COUNTIFS('Production assets'!D88,"Create")+COUNTIFS('Production assets'!D89,"Create")+COUNTIFS('Production assets'!D90,"Create")+COUNTIFS('Production assets'!D91,"Create")+COUNTIFS('Production assets'!D92,"Create")+COUNTIFS('Production assets'!D93,"Create")+COUNTIFS('Production assets'!D94,"Create")+COUNTIFS('Production assets'!D20,"Create")+COUNTIFS('Production assets'!D11,"Create")+COUNTIFS('Production assets'!D15,"Create")+COUNTIFS('Production assets'!D16,"Create")+COUNTIFS('Production assets'!D17,"Create")</x:f>
        <x:v>5</x:v>
      </x:c>
      <x:c r="F17" s="10" t="n">
        <x:f>COUNTIFS('Production assets'!D19,"Rework")+COUNTIFS('Production assets'!D87,"Rework")+COUNTIFS('Production assets'!D88,"Rework")+COUNTIFS('Production assets'!D89,"Rework")+COUNTIFS('Production assets'!D90,"Rework")+COUNTIFS('Production assets'!D91,"Rework")+COUNTIFS('Production assets'!D92,"Rework")+COUNTIFS('Production assets'!D93,"Rework")+COUNTIFS('Production assets'!D94,"Rework")+COUNTIFS('Production assets'!D20,"Rework")+COUNTIFS('Production assets'!D11,"Rework")+COUNTIFS('Production assets'!D15,"Rework")+COUNTIFS('Production assets'!D16,"Rework")+COUNTIFS('Production assets'!D17,"Rework")</x:f>
        <x:v>8</x:v>
      </x:c>
      <x:c r="G17" s="10" t="n">
        <x:f>COUNTIFS('Production assets'!D19,"Reuse")+COUNTIFS('Production assets'!D87,"Reuse")+COUNTIFS('Production assets'!D88,"Reuse")+COUNTIFS('Production assets'!D89,"Reuse")+COUNTIFS('Production assets'!D90,"Reuse")+COUNTIFS('Production assets'!D91,"Reuse")+COUNTIFS('Production assets'!D92,"Reuse")+COUNTIFS('Production assets'!D93,"Reuse")+COUNTIFS('Production assets'!D94,"Reuse")+COUNTIFS('Production assets'!D20,"Reuse")+COUNTIFS('Production assets'!D11,"Reuse")+COUNTIFS('Production assets'!D15,"Reuse")+COUNTIFS('Production assets'!D16,"Reuse")+COUNTIFS('Production assets'!D17,"Reuse")</x:f>
        <x:v>1</x:v>
      </x:c>
      <x:c r="H17" s="10" t="str">
        <x:v>/platform/self-learning</x:v>
      </x:c>
    </x:row>
    <x:row r="18" ht="32" customHeight="1">
      <x:c r="A18" s="5" t="str">
        <x:v>Evaluations</x:v>
      </x:c>
      <x:c r="B18" s="5" t="str">
        <x:v>Notetaker</x:v>
      </x:c>
      <x:c r="C18" s="5" t="n">
        <x:v>23</x:v>
      </x:c>
      <x:c r="D18" s="5" t="n">
        <x:v>14</x:v>
      </x:c>
      <x:c r="E18" s="5" t="n">
        <x:f>COUNTIFS('Production assets'!D21,"Create")+COUNTIFS('Production assets'!D95,"Create")+COUNTIFS('Production assets'!D96,"Create")+COUNTIFS('Production assets'!D97,"Create")+COUNTIFS('Production assets'!D98,"Create")+COUNTIFS('Production assets'!D99,"Create")+COUNTIFS('Production assets'!D100,"Create")+COUNTIFS('Production assets'!D101,"Create")+COUNTIFS('Production assets'!D102,"Create")+COUNTIFS('Production assets'!D20,"Create")+COUNTIFS('Production assets'!D11,"Create")+COUNTIFS('Production assets'!D15,"Create")+COUNTIFS('Production assets'!D16,"Create")+COUNTIFS('Production assets'!D17,"Create")</x:f>
        <x:v>5</x:v>
      </x:c>
      <x:c r="F18" s="5" t="n">
        <x:f>COUNTIFS('Production assets'!D21,"Rework")+COUNTIFS('Production assets'!D95,"Rework")+COUNTIFS('Production assets'!D96,"Rework")+COUNTIFS('Production assets'!D97,"Rework")+COUNTIFS('Production assets'!D98,"Rework")+COUNTIFS('Production assets'!D99,"Rework")+COUNTIFS('Production assets'!D100,"Rework")+COUNTIFS('Production assets'!D101,"Rework")+COUNTIFS('Production assets'!D102,"Rework")+COUNTIFS('Production assets'!D20,"Rework")+COUNTIFS('Production assets'!D11,"Rework")+COUNTIFS('Production assets'!D15,"Rework")+COUNTIFS('Production assets'!D16,"Rework")+COUNTIFS('Production assets'!D17,"Rework")</x:f>
        <x:v>8</x:v>
      </x:c>
      <x:c r="G18" s="5" t="n">
        <x:f>COUNTIFS('Production assets'!D21,"Reuse")+COUNTIFS('Production assets'!D95,"Reuse")+COUNTIFS('Production assets'!D96,"Reuse")+COUNTIFS('Production assets'!D97,"Reuse")+COUNTIFS('Production assets'!D98,"Reuse")+COUNTIFS('Production assets'!D99,"Reuse")+COUNTIFS('Production assets'!D100,"Reuse")+COUNTIFS('Production assets'!D101,"Reuse")+COUNTIFS('Production assets'!D102,"Reuse")+COUNTIFS('Production assets'!D20,"Reuse")+COUNTIFS('Production assets'!D11,"Reuse")+COUNTIFS('Production assets'!D15,"Reuse")+COUNTIFS('Production assets'!D16,"Reuse")+COUNTIFS('Production assets'!D17,"Reuse")</x:f>
        <x:v>1</x:v>
      </x:c>
      <x:c r="H18" s="5" t="str">
        <x:v>/platform/evaluations</x:v>
      </x:c>
    </x:row>
    <x:row r="19" ht="32" customHeight="1">
      <x:c r="A19" s="10" t="str">
        <x:v>Analytics and Observability</x:v>
      </x:c>
      <x:c r="B19" s="10" t="str">
        <x:v>Contacts</x:v>
      </x:c>
      <x:c r="C19" s="10" t="n">
        <x:v>23</x:v>
      </x:c>
      <x:c r="D19" s="10" t="n">
        <x:v>14</x:v>
      </x:c>
      <x:c r="E19" s="10" t="n">
        <x:f>COUNTIFS('Production assets'!D30,"Create")+COUNTIFS('Production assets'!D103,"Create")+COUNTIFS('Production assets'!D104,"Create")+COUNTIFS('Production assets'!D105,"Create")+COUNTIFS('Production assets'!D106,"Create")+COUNTIFS('Production assets'!D107,"Create")+COUNTIFS('Production assets'!D108,"Create")+COUNTIFS('Production assets'!D109,"Create")+COUNTIFS('Production assets'!D110,"Create")+COUNTIFS('Production assets'!D20,"Create")+COUNTIFS('Production assets'!D11,"Create")+COUNTIFS('Production assets'!D15,"Create")+COUNTIFS('Production assets'!D16,"Create")+COUNTIFS('Production assets'!D17,"Create")</x:f>
        <x:v>5</x:v>
      </x:c>
      <x:c r="F19" s="10" t="n">
        <x:f>COUNTIFS('Production assets'!D30,"Rework")+COUNTIFS('Production assets'!D103,"Rework")+COUNTIFS('Production assets'!D104,"Rework")+COUNTIFS('Production assets'!D105,"Rework")+COUNTIFS('Production assets'!D106,"Rework")+COUNTIFS('Production assets'!D107,"Rework")+COUNTIFS('Production assets'!D108,"Rework")+COUNTIFS('Production assets'!D109,"Rework")+COUNTIFS('Production assets'!D110,"Rework")+COUNTIFS('Production assets'!D20,"Rework")+COUNTIFS('Production assets'!D11,"Rework")+COUNTIFS('Production assets'!D15,"Rework")+COUNTIFS('Production assets'!D16,"Rework")+COUNTIFS('Production assets'!D17,"Rework")</x:f>
        <x:v>8</x:v>
      </x:c>
      <x:c r="G19" s="10" t="n">
        <x:f>COUNTIFS('Production assets'!D30,"Reuse")+COUNTIFS('Production assets'!D103,"Reuse")+COUNTIFS('Production assets'!D104,"Reuse")+COUNTIFS('Production assets'!D105,"Reuse")+COUNTIFS('Production assets'!D106,"Reuse")+COUNTIFS('Production assets'!D107,"Reuse")+COUNTIFS('Production assets'!D108,"Reuse")+COUNTIFS('Production assets'!D109,"Reuse")+COUNTIFS('Production assets'!D110,"Reuse")+COUNTIFS('Production assets'!D20,"Reuse")+COUNTIFS('Production assets'!D11,"Reuse")+COUNTIFS('Production assets'!D15,"Reuse")+COUNTIFS('Production assets'!D16,"Reuse")+COUNTIFS('Production assets'!D17,"Reuse")</x:f>
        <x:v>1</x:v>
      </x:c>
      <x:c r="H19" s="10" t="str">
        <x:v>/platform/analytics-and-observability</x:v>
      </x:c>
    </x:row>
    <x:row r="20" ht="32" customHeight="1">
      <x:c r="A20" s="5" t="str">
        <x:v>Deployment Options</x:v>
      </x:c>
      <x:c r="B20" s="5" t="str">
        <x:v>Payments</x:v>
      </x:c>
      <x:c r="C20" s="5" t="n">
        <x:v>23</x:v>
      </x:c>
      <x:c r="D20" s="5" t="n">
        <x:v>14</x:v>
      </x:c>
      <x:c r="E20" s="5" t="n">
        <x:f>COUNTIFS('Production assets'!D39,"Create")+COUNTIFS('Production assets'!D111,"Create")+COUNTIFS('Production assets'!D112,"Create")+COUNTIFS('Production assets'!D113,"Create")+COUNTIFS('Production assets'!D114,"Create")+COUNTIFS('Production assets'!D115,"Create")+COUNTIFS('Production assets'!D116,"Create")+COUNTIFS('Production assets'!D117,"Create")+COUNTIFS('Production assets'!D118,"Create")+COUNTIFS('Production assets'!D20,"Create")+COUNTIFS('Production assets'!D11,"Create")+COUNTIFS('Production assets'!D15,"Create")+COUNTIFS('Production assets'!D16,"Create")+COUNTIFS('Production assets'!D17,"Create")</x:f>
        <x:v>5</x:v>
      </x:c>
      <x:c r="F20" s="5" t="n">
        <x:f>COUNTIFS('Production assets'!D39,"Rework")+COUNTIFS('Production assets'!D111,"Rework")+COUNTIFS('Production assets'!D112,"Rework")+COUNTIFS('Production assets'!D113,"Rework")+COUNTIFS('Production assets'!D114,"Rework")+COUNTIFS('Production assets'!D115,"Rework")+COUNTIFS('Production assets'!D116,"Rework")+COUNTIFS('Production assets'!D117,"Rework")+COUNTIFS('Production assets'!D118,"Rework")+COUNTIFS('Production assets'!D20,"Rework")+COUNTIFS('Production assets'!D11,"Rework")+COUNTIFS('Production assets'!D15,"Rework")+COUNTIFS('Production assets'!D16,"Rework")+COUNTIFS('Production assets'!D17,"Rework")</x:f>
        <x:v>8</x:v>
      </x:c>
      <x:c r="G20" s="5" t="n">
        <x:f>COUNTIFS('Production assets'!D39,"Reuse")+COUNTIFS('Production assets'!D111,"Reuse")+COUNTIFS('Production assets'!D112,"Reuse")+COUNTIFS('Production assets'!D113,"Reuse")+COUNTIFS('Production assets'!D114,"Reuse")+COUNTIFS('Production assets'!D115,"Reuse")+COUNTIFS('Production assets'!D116,"Reuse")+COUNTIFS('Production assets'!D117,"Reuse")+COUNTIFS('Production assets'!D118,"Reuse")+COUNTIFS('Production assets'!D20,"Reuse")+COUNTIFS('Production assets'!D11,"Reuse")+COUNTIFS('Production assets'!D15,"Reuse")+COUNTIFS('Production assets'!D16,"Reuse")+COUNTIFS('Production assets'!D17,"Reuse")</x:f>
        <x:v>1</x:v>
      </x:c>
      <x:c r="H20" s="5" t="str">
        <x:v>/platform/deployment-options</x:v>
      </x:c>
    </x:row>
    <x:row r="21" ht="32" customHeight="1">
      <x:c r="A21" s="10" t="str">
        <x:v>Security and Compliance</x:v>
      </x:c>
      <x:c r="B21" s="10" t="str">
        <x:v>Assistant</x:v>
      </x:c>
      <x:c r="C21" s="10" t="n">
        <x:v>23</x:v>
      </x:c>
      <x:c r="D21" s="10" t="n">
        <x:v>14</x:v>
      </x:c>
      <x:c r="E21" s="10" t="n">
        <x:f>COUNTIFS('Production assets'!D6,"Create")+COUNTIFS('Production assets'!D119,"Create")+COUNTIFS('Production assets'!D120,"Create")+COUNTIFS('Production assets'!D121,"Create")+COUNTIFS('Production assets'!D122,"Create")+COUNTIFS('Production assets'!D123,"Create")+COUNTIFS('Production assets'!D124,"Create")+COUNTIFS('Production assets'!D125,"Create")+COUNTIFS('Production assets'!D126,"Create")+COUNTIFS('Production assets'!D20,"Create")+COUNTIFS('Production assets'!D11,"Create")+COUNTIFS('Production assets'!D15,"Create")+COUNTIFS('Production assets'!D16,"Create")+COUNTIFS('Production assets'!D17,"Create")</x:f>
        <x:v>5</x:v>
      </x:c>
      <x:c r="F21" s="10" t="n">
        <x:f>COUNTIFS('Production assets'!D6,"Rework")+COUNTIFS('Production assets'!D119,"Rework")+COUNTIFS('Production assets'!D120,"Rework")+COUNTIFS('Production assets'!D121,"Rework")+COUNTIFS('Production assets'!D122,"Rework")+COUNTIFS('Production assets'!D123,"Rework")+COUNTIFS('Production assets'!D124,"Rework")+COUNTIFS('Production assets'!D125,"Rework")+COUNTIFS('Production assets'!D126,"Rework")+COUNTIFS('Production assets'!D20,"Rework")+COUNTIFS('Production assets'!D11,"Rework")+COUNTIFS('Production assets'!D15,"Rework")+COUNTIFS('Production assets'!D16,"Rework")+COUNTIFS('Production assets'!D17,"Rework")</x:f>
        <x:v>8</x:v>
      </x:c>
      <x:c r="G21" s="10" t="n">
        <x:f>COUNTIFS('Production assets'!D6,"Reuse")+COUNTIFS('Production assets'!D119,"Reuse")+COUNTIFS('Production assets'!D120,"Reuse")+COUNTIFS('Production assets'!D121,"Reuse")+COUNTIFS('Production assets'!D122,"Reuse")+COUNTIFS('Production assets'!D123,"Reuse")+COUNTIFS('Production assets'!D124,"Reuse")+COUNTIFS('Production assets'!D125,"Reuse")+COUNTIFS('Production assets'!D126,"Reuse")+COUNTIFS('Production assets'!D20,"Reuse")+COUNTIFS('Production assets'!D11,"Reuse")+COUNTIFS('Production assets'!D15,"Reuse")+COUNTIFS('Production assets'!D16,"Reuse")+COUNTIFS('Production assets'!D17,"Reuse")</x:f>
        <x:v>1</x:v>
      </x:c>
      <x:c r="H21" s="10" t="str">
        <x:v>/platform/security-and-compliance</x:v>
      </x:c>
    </x:row>
    <x:row r="23">
      <x:c r="A23" s="12" t="str">
        <x:v>Global totals, deduplicated</x:v>
      </x:c>
    </x:row>
    <x:row r="24">
      <x:c r="A24" t="str">
        <x:v>Placements</x:v>
      </x:c>
      <x:c r="B24" t="n">
        <x:f>COUNTA('All placements'!A6:A304)</x:f>
        <x:v>299</x:v>
      </x:c>
    </x:row>
    <x:row r="25">
      <x:c r="A25" t="str">
        <x:v>Unique assets</x:v>
      </x:c>
      <x:c r="B25" t="n">
        <x:f>COUNTA('Production assets'!A6:A126)</x:f>
        <x:v>121</x:v>
      </x:c>
    </x:row>
    <x:row r="26">
      <x:c r="A26" t="str">
        <x:v>Create</x:v>
      </x:c>
      <x:c r="B26" t="n">
        <x:f>COUNTIFS('Production assets'!D6:D126,"Create")</x:f>
        <x:v>50</x:v>
      </x:c>
    </x:row>
    <x:row r="27">
      <x:c r="A27" t="str">
        <x:v>Rework</x:v>
      </x:c>
      <x:c r="B27" t="n">
        <x:f>COUNTIFS('Production assets'!D6:D126,"Rework")</x:f>
        <x:v>63</x:v>
      </x:c>
    </x:row>
    <x:row r="28">
      <x:c r="A28" t="str">
        <x:v>Reuse</x:v>
      </x:c>
      <x:c r="B28" t="n">
        <x:f>COUNTIFS('Production assets'!D6:D126,"Reuse")</x:f>
        <x:v>8</x:v>
      </x:c>
    </x:row>
    <x:row r="30">
      <x:c r="A30" s="13" t="str">
        <x:v>How to use</x:v>
      </x:c>
    </x:row>
    <x:row r="31" ht="22" customHeight="1">
      <x:c r="A31" t="str">
        <x:v>Filter Action to Create or Rework to plan production. Rework means adapt existing artwork, not a missing file.</x:v>
      </x:c>
    </x:row>
    <x:row r="32" ht="22" customHeight="1">
      <x:c r="A32" t="str">
        <x:v>Each page has its own tab. All placements is the combined inventory. Production assets counts each shared master once.</x:v>
      </x:c>
    </x:row>
    <x:row r="33" ht="22" customHeight="1">
      <x:c r="A33" t="str">
        <x:v>Page totals include shared assets. Do not sum per-page asset counts to estimate the total production workload.</x:v>
      </x:c>
    </x:row>
    <x:row r="34" ht="22" customHeight="1">
      <x:c r="A34" t="str">
        <x:v>Create the foreground UI as editable layers over the existing gradient. Dimensions are recommended exports, not source-image sizes.</x:v>
      </x:c>
    </x:row>
    <x:row r="35" ht="22" customHeight="1">
      <x:c r="A35" t="str">
        <x:v>Integrations and Agent Skills have no unique feature-art panels today. Their new asset needs are shared related-product thumbnails.</x:v>
      </x:c>
    </x:row>
    <x:row r="36" ht="22" customHeight="1">
      <x:c r="A36" t="str">
        <x:v>Current image sources and local page links are in All placements. These pages have not been deployed.</x:v>
      </x:c>
    </x:row>
    <x:row r="37" ht="22" customHeight="1">
      <x:c r="A37" t="str">
        <x:v>Logos, integration-directory icons, skill-directory cards and testimonial portraits are excluded from this artwork production scope.</x:v>
      </x:c>
    </x:row>
    <x:row r="38" ht="22" customHeight="1">
      <x:c r="A38" t="str">
        <x:v>Recommendations are design briefs, not verified product screenshots. Match the actual interface when producing final artwork.</x:v>
      </x:c>
    </x:row>
    <x:row r="40">
      <x:c r="A40" t="str">
        <x:v>Design source: https://app.paper.design/file/01M3DS96VV117HSPX5SSGYFQCX/p-1-0</x:v>
      </x:c>
    </x:row>
    <x:row r="41">
      <x:c r="A41" t="str">
        <x:v>Page scope: Product navigation destinations in the current local redesign.</x:v>
      </x:c>
    </x:row>
  </x:sheetData>
  <x:pageMargins left="0.7" right="0.7" top="0.75" bottom="0.75" header="0.3" footer="0.3"/>
  <x:tableParts count="1">
    <x:tablePart xmlns:r="http://schemas.openxmlformats.org/officeDocument/2006/relationships" r:id="Rad1fcbff7be74e0b"/>
  </x:tableParts>
</x:worksheet>
</file>

<file path=xl/worksheets/sheet2.xml><?xml version="1.0" encoding="utf-8"?>
<x:worksheet xmlns:x="http://schemas.openxmlformats.org/spreadsheetml/2006/main">
  <x:sheetPr>
    <x:tabColor rgb="FF071A31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2" hidden="0" customWidth="1"/>
    <x:col min="2" max="2" width="40" hidden="0" customWidth="1"/>
    <x:col min="3" max="3" width="76" hidden="0" customWidth="1"/>
    <x:col min="4" max="4" width="14" hidden="0" customWidth="1"/>
    <x:col min="5" max="5" width="14" hidden="0" customWidth="1"/>
    <x:col min="6" max="6" width="17" hidden="0" customWidth="1"/>
    <x:col min="7" max="7" width="12" hidden="0" customWidth="1"/>
    <x:col min="8" max="8" width="50" hidden="0" customWidth="1"/>
    <x:col min="9" max="9" width="6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</x:row>
    <x:row r="2">
      <x:c r="A2" s="2" t="str">
        <x:v>Production assets</x:v>
      </x:c>
      <x:c r="B2" s="1"/>
      <x:c r="C2" s="1"/>
      <x:c r="D2" s="1"/>
      <x:c r="E2" s="1"/>
      <x:c r="F2" s="1"/>
      <x:c r="G2" s="1"/>
      <x:c r="H2" s="1"/>
      <x:c r="I2" s="1"/>
    </x:row>
    <x:row r="3">
      <x:c r="A3" s="3" t="str">
        <x:v>One row per unique asset. Update Status here. Create and Rework are recommendations.</x:v>
      </x:c>
      <x:c r="B3" s="1"/>
      <x:c r="C3" s="1"/>
      <x:c r="D3" s="1"/>
      <x:c r="E3" s="1"/>
      <x:c r="F3" s="1"/>
      <x:c r="G3" s="1"/>
      <x:c r="H3" s="1"/>
      <x:c r="I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</x:row>
    <x:row r="5" ht="30" customHeight="1">
      <x:c r="A5" s="9" t="str">
        <x:v>Asset ID</x:v>
      </x:c>
      <x:c r="B5" s="9" t="str">
        <x:v>Asset name</x:v>
      </x:c>
      <x:c r="C5" s="9" t="str">
        <x:v>Recommended artwork</x:v>
      </x:c>
      <x:c r="D5" s="9" t="str">
        <x:v>Action</x:v>
      </x:c>
      <x:c r="E5" s="9" t="str">
        <x:v>Priority</x:v>
      </x:c>
      <x:c r="F5" s="9" t="str">
        <x:v>Status</x:v>
      </x:c>
      <x:c r="G5" s="9" t="str">
        <x:v>Placements</x:v>
      </x:c>
      <x:c r="H5" s="9" t="str">
        <x:v>Pages</x:v>
      </x:c>
      <x:c r="I5" s="9" t="str">
        <x:v>Required exports</x:v>
      </x:c>
    </x:row>
    <x:row r="6" ht="38" customHeight="1">
      <x:c r="A6" s="5" t="str">
        <x:v>A001</x:v>
      </x:c>
      <x:c r="B6" s="5" t="str">
        <x:v>Assistant hero background</x:v>
      </x:c>
      <x:c r="C6" s="5" t="str">
        <x:v>Reuse the existing Paper SVG as a separate background layer. No new background required.</x:v>
      </x:c>
      <x:c r="D6" s="5" t="str">
        <x:v>Reuse</x:v>
      </x:c>
      <x:c r="E6" s="5" t="str">
        <x:v>Existing</x:v>
      </x:c>
      <x:c r="F6" s="11" t="str">
        <x:v>Existing</x:v>
      </x:c>
      <x:c r="G6" s="5" t="n">
        <x:v>4</x:v>
      </x:c>
      <x:c r="H6" s="5" t="str">
        <x:v>Platform, Agent Studio, Agentic Automation, Security and Compliance</x:v>
      </x:c>
      <x:c r="I6" s="5" t="str">
        <x:v>Existing scalable SVG</x:v>
      </x:c>
    </x:row>
    <x:row r="7" ht="32" customHeight="1">
      <x:c r="A7" s="10" t="str">
        <x:v>A002</x:v>
      </x:c>
      <x:c r="B7" s="10" t="str">
        <x:v>Agentic Automation product thumbnail</x:v>
      </x:c>
      <x:c r="C7" s="10" t="str">
        <x:v>A request routed through an agent, a tool action and a review gate.</x:v>
      </x:c>
      <x:c r="D7" s="10" t="str">
        <x:v>Create</x:v>
      </x:c>
      <x:c r="E7" s="10" t="str">
        <x:v>High</x:v>
      </x:c>
      <x:c r="F7" s="11" t="str">
        <x:v>Not started</x:v>
      </x:c>
      <x:c r="G7" s="10" t="n">
        <x:v>1</x:v>
      </x:c>
      <x:c r="H7" s="10" t="str">
        <x:v>Platform</x:v>
      </x:c>
      <x:c r="I7" s="10" t="str">
        <x:v>Editable SVG + 1200 x 1000 WebP</x:v>
      </x:c>
    </x:row>
    <x:row r="8" ht="32" customHeight="1">
      <x:c r="A8" s="5" t="str">
        <x:v>A003</x:v>
      </x:c>
      <x:c r="B8" s="5" t="str">
        <x:v>Self Learning product thumbnail</x:v>
      </x:c>
      <x:c r="C8" s="5" t="str">
        <x:v>A feedback card feeding a revised workflow and validation check.</x:v>
      </x:c>
      <x:c r="D8" s="5" t="str">
        <x:v>Create</x:v>
      </x:c>
      <x:c r="E8" s="5" t="str">
        <x:v>High</x:v>
      </x:c>
      <x:c r="F8" s="11" t="str">
        <x:v>Not started</x:v>
      </x:c>
      <x:c r="G8" s="5" t="n">
        <x:v>1</x:v>
      </x:c>
      <x:c r="H8" s="5" t="str">
        <x:v>Platform</x:v>
      </x:c>
      <x:c r="I8" s="5" t="str">
        <x:v>Editable SVG + 1200 x 1000 WebP</x:v>
      </x:c>
    </x:row>
    <x:row r="9" ht="32" customHeight="1">
      <x:c r="A9" s="10" t="str">
        <x:v>A004</x:v>
      </x:c>
      <x:c r="B9" s="10" t="str">
        <x:v>Evaluations product thumbnail</x:v>
      </x:c>
      <x:c r="C9" s="10" t="str">
        <x:v>An expected-versus-actual result card with a review checklist.</x:v>
      </x:c>
      <x:c r="D9" s="10" t="str">
        <x:v>Create</x:v>
      </x:c>
      <x:c r="E9" s="10" t="str">
        <x:v>High</x:v>
      </x:c>
      <x:c r="F9" s="11" t="str">
        <x:v>Not started</x:v>
      </x:c>
      <x:c r="G9" s="10" t="n">
        <x:v>1</x:v>
      </x:c>
      <x:c r="H9" s="10" t="str">
        <x:v>Platform</x:v>
      </x:c>
      <x:c r="I9" s="10" t="str">
        <x:v>Editable SVG + 1200 x 1000 WebP</x:v>
      </x:c>
    </x:row>
    <x:row r="10" ht="38" customHeight="1">
      <x:c r="A10" s="5" t="str">
        <x:v>A005</x:v>
      </x:c>
      <x:c r="B10" s="5" t="str">
        <x:v>Analytics and Observability product thumbnail</x:v>
      </x:c>
      <x:c r="C10" s="5" t="str">
        <x:v>A miniature trace timeline and workflow health dashboard.</x:v>
      </x:c>
      <x:c r="D10" s="5" t="str">
        <x:v>Create</x:v>
      </x:c>
      <x:c r="E10" s="5" t="str">
        <x:v>High</x:v>
      </x:c>
      <x:c r="F10" s="11" t="str">
        <x:v>Not started</x:v>
      </x:c>
      <x:c r="G10" s="5" t="n">
        <x:v>1</x:v>
      </x:c>
      <x:c r="H10" s="5" t="str">
        <x:v>Platform</x:v>
      </x:c>
      <x:c r="I10" s="5" t="str">
        <x:v>Editable SVG + 1200 x 1000 WebP</x:v>
      </x:c>
    </x:row>
    <x:row r="11" ht="90" customHeight="1">
      <x:c r="A11" s="10" t="str">
        <x:v>A006</x:v>
      </x:c>
      <x:c r="B11" s="10" t="str">
        <x:v>Integrations product thumbnail</x:v>
      </x:c>
      <x:c r="C11" s="10" t="str">
        <x:v>A central Innflow node connected to a small set of tool tiles.</x:v>
      </x:c>
      <x:c r="D11" s="10" t="str">
        <x:v>Create</x:v>
      </x:c>
      <x:c r="E11" s="10" t="str">
        <x:v>High</x:v>
      </x:c>
      <x:c r="F11" s="11" t="str">
        <x:v>Not started</x:v>
      </x:c>
      <x:c r="G11" s="10" t="n">
        <x:v>16</x:v>
      </x:c>
      <x:c r="H11" s="10" t="str">
        <x:v>Platform, Agentic Workflows, Agent OS, AI Agents, Agent Studio, Agent Skills, Files &amp; Documents, AI Website Builder, Databases, Agentic Automation, Self Learning, Evaluations, Analytics and Observability, Deployment Options, Security and Compliance</x:v>
      </x:c>
      <x:c r="I11" s="10" t="str">
        <x:v>Editable SVG + 1200 x 1000 WebP</x:v>
      </x:c>
    </x:row>
    <x:row r="12" ht="38" customHeight="1">
      <x:c r="A12" s="5" t="str">
        <x:v>A007</x:v>
      </x:c>
      <x:c r="B12" s="5" t="str">
        <x:v>Deployment Options product thumbnail</x:v>
      </x:c>
      <x:c r="C12" s="5" t="str">
        <x:v>A deployment chooser with hosted, private and on-premise architecture tiles.</x:v>
      </x:c>
      <x:c r="D12" s="5" t="str">
        <x:v>Create</x:v>
      </x:c>
      <x:c r="E12" s="5" t="str">
        <x:v>High</x:v>
      </x:c>
      <x:c r="F12" s="11" t="str">
        <x:v>Not started</x:v>
      </x:c>
      <x:c r="G12" s="5" t="n">
        <x:v>1</x:v>
      </x:c>
      <x:c r="H12" s="5" t="str">
        <x:v>Platform</x:v>
      </x:c>
      <x:c r="I12" s="5" t="str">
        <x:v>Editable SVG + 1200 x 1000 WebP</x:v>
      </x:c>
    </x:row>
    <x:row r="13" ht="38" customHeight="1">
      <x:c r="A13" s="10" t="str">
        <x:v>A008</x:v>
      </x:c>
      <x:c r="B13" s="10" t="str">
        <x:v>Security and Compliance product thumbnail</x:v>
      </x:c>
      <x:c r="C13" s="10" t="str">
        <x:v>A scoped-access panel beside an audit record and evidence folder.</x:v>
      </x:c>
      <x:c r="D13" s="10" t="str">
        <x:v>Create</x:v>
      </x:c>
      <x:c r="E13" s="10" t="str">
        <x:v>High</x:v>
      </x:c>
      <x:c r="F13" s="11" t="str">
        <x:v>Not started</x:v>
      </x:c>
      <x:c r="G13" s="10" t="n">
        <x:v>1</x:v>
      </x:c>
      <x:c r="H13" s="10" t="str">
        <x:v>Platform</x:v>
      </x:c>
      <x:c r="I13" s="10" t="str">
        <x:v>Editable SVG + 1200 x 1000 WebP</x:v>
      </x:c>
    </x:row>
    <x:row r="14" ht="38" customHeight="1">
      <x:c r="A14" s="5" t="str">
        <x:v>A009</x:v>
      </x:c>
      <x:c r="B14" s="5" t="str">
        <x:v>Workflows interactive workspace</x:v>
      </x:c>
      <x:c r="C14" s="5" t="str">
        <x:v>Retain the existing interactive workspace. Optional static poster only if a still image is needed.</x:v>
      </x:c>
      <x:c r="D14" s="5" t="str">
        <x:v>Reuse</x:v>
      </x:c>
      <x:c r="E14" s="5" t="str">
        <x:v>Existing</x:v>
      </x:c>
      <x:c r="F14" s="11" t="str">
        <x:v>Existing</x:v>
      </x:c>
      <x:c r="G14" s="5" t="n">
        <x:v>3</x:v>
      </x:c>
      <x:c r="H14" s="5" t="str">
        <x:v>Platform, Agent OS, Agent Studio</x:v>
      </x:c>
      <x:c r="I14" s="5" t="str">
        <x:v>Live component; optional 1920 px wide poster</x:v>
      </x:c>
    </x:row>
    <x:row r="15" ht="90" customHeight="1">
      <x:c r="A15" s="10" t="str">
        <x:v>A010</x:v>
      </x:c>
      <x:c r="B15" s="10" t="str">
        <x:v>Agentic Workflows product thumbnail</x:v>
      </x:c>
      <x:c r="C15" s="10" t="str">
        <x:v>A compact workflow canvas with trigger, branch and action nodes.</x:v>
      </x:c>
      <x:c r="D15" s="10" t="str">
        <x:v>Create</x:v>
      </x:c>
      <x:c r="E15" s="10" t="str">
        <x:v>High</x:v>
      </x:c>
      <x:c r="F15" s="11" t="str">
        <x:v>Not started</x:v>
      </x:c>
      <x:c r="G15" s="10" t="n">
        <x:v>15</x:v>
      </x:c>
      <x:c r="H15" s="10" t="str">
        <x:v>Platform, Integrations, Agent OS, AI Agents, Agent Studio, Agent Skills, Files &amp; Documents, AI Website Builder, Databases, Agentic Automation, Self Learning, Evaluations, Analytics and Observability, Deployment Options, Security and Compliance</x:v>
      </x:c>
      <x:c r="I15" s="10" t="str">
        <x:v>Editable SVG + 1200 x 1000 WebP</x:v>
      </x:c>
    </x:row>
    <x:row r="16" ht="90" customHeight="1">
      <x:c r="A16" s="5" t="str">
        <x:v>A011</x:v>
      </x:c>
      <x:c r="B16" s="5" t="str">
        <x:v>Agent OS product thumbnail</x:v>
      </x:c>
      <x:c r="C16" s="5" t="str">
        <x:v>A small orchestration graph connecting agents and shared memory.</x:v>
      </x:c>
      <x:c r="D16" s="5" t="str">
        <x:v>Create</x:v>
      </x:c>
      <x:c r="E16" s="5" t="str">
        <x:v>High</x:v>
      </x:c>
      <x:c r="F16" s="11" t="str">
        <x:v>Not started</x:v>
      </x:c>
      <x:c r="G16" s="5" t="n">
        <x:v>15</x:v>
      </x:c>
      <x:c r="H16" s="5" t="str">
        <x:v>Platform, Integrations, Agentic Workflows, AI Agents, Agent Studio, Agent Skills, Files &amp; Documents, AI Website Builder, Databases, Agentic Automation, Self Learning, Evaluations, Analytics and Observability, Deployment Options, Security and Compliance</x:v>
      </x:c>
      <x:c r="I16" s="5" t="str">
        <x:v>Editable SVG + 1200 x 1000 WebP</x:v>
      </x:c>
    </x:row>
    <x:row r="17" ht="90" customHeight="1">
      <x:c r="A17" s="10" t="str">
        <x:v>A012</x:v>
      </x:c>
      <x:c r="B17" s="10" t="str">
        <x:v>AI Agents product thumbnail</x:v>
      </x:c>
      <x:c r="C17" s="10" t="str">
        <x:v>An agent task card with linked evidence and a proposed next action.</x:v>
      </x:c>
      <x:c r="D17" s="10" t="str">
        <x:v>Create</x:v>
      </x:c>
      <x:c r="E17" s="10" t="str">
        <x:v>High</x:v>
      </x:c>
      <x:c r="F17" s="11" t="str">
        <x:v>Not started</x:v>
      </x:c>
      <x:c r="G17" s="10" t="n">
        <x:v>15</x:v>
      </x:c>
      <x:c r="H17" s="10" t="str">
        <x:v>Platform, Integrations, Agentic Workflows, Agent OS, Agent Studio, Agent Skills, Files &amp; Documents, AI Website Builder, Databases, Agentic Automation, Self Learning, Evaluations, Analytics and Observability, Deployment Options, Security and Compliance</x:v>
      </x:c>
      <x:c r="I17" s="10" t="str">
        <x:v>Editable SVG + 1200 x 1000 WebP</x:v>
      </x:c>
    </x:row>
    <x:row r="18" ht="38" customHeight="1">
      <x:c r="A18" s="5" t="str">
        <x:v>A013</x:v>
      </x:c>
      <x:c r="B18" s="5" t="str">
        <x:v>Agent Studio product thumbnail</x:v>
      </x:c>
      <x:c r="C18" s="5" t="str">
        <x:v>A miniature visual editor with configurable workflow nodes.</x:v>
      </x:c>
      <x:c r="D18" s="5" t="str">
        <x:v>Create</x:v>
      </x:c>
      <x:c r="E18" s="5" t="str">
        <x:v>High</x:v>
      </x:c>
      <x:c r="F18" s="11" t="str">
        <x:v>Not started</x:v>
      </x:c>
      <x:c r="G18" s="5" t="n">
        <x:v>5</x:v>
      </x:c>
      <x:c r="H18" s="5" t="str">
        <x:v>Platform, Integrations, Agentic Workflows, Agent OS, AI Agents</x:v>
      </x:c>
      <x:c r="I18" s="5" t="str">
        <x:v>Editable SVG + 1200 x 1000 WebP</x:v>
      </x:c>
    </x:row>
    <x:row r="19" ht="38" customHeight="1">
      <x:c r="A19" s="10" t="str">
        <x:v>A014</x:v>
      </x:c>
      <x:c r="B19" s="10" t="str">
        <x:v>Scheduling hero background</x:v>
      </x:c>
      <x:c r="C19" s="10" t="str">
        <x:v>Reuse the existing Paper SVG as a separate background layer. No new background required.</x:v>
      </x:c>
      <x:c r="D19" s="10" t="str">
        <x:v>Reuse</x:v>
      </x:c>
      <x:c r="E19" s="10" t="str">
        <x:v>Existing</x:v>
      </x:c>
      <x:c r="F19" s="11" t="str">
        <x:v>Existing</x:v>
      </x:c>
      <x:c r="G19" s="10" t="n">
        <x:v>3</x:v>
      </x:c>
      <x:c r="H19" s="10" t="str">
        <x:v>Integrations, Agent Skills, Self Learning</x:v>
      </x:c>
      <x:c r="I19" s="10" t="str">
        <x:v>Existing scalable SVG</x:v>
      </x:c>
    </x:row>
    <x:row r="20" ht="90" customHeight="1">
      <x:c r="A20" s="5" t="str">
        <x:v>A015</x:v>
      </x:c>
      <x:c r="B20" s="5" t="str">
        <x:v>Platform product thumbnail</x:v>
      </x:c>
      <x:c r="C20" s="5" t="str">
        <x:v>A compact workspace overview linking agents, tools and shared knowledge.</x:v>
      </x:c>
      <x:c r="D20" s="5" t="str">
        <x:v>Create</x:v>
      </x:c>
      <x:c r="E20" s="5" t="str">
        <x:v>High</x:v>
      </x:c>
      <x:c r="F20" s="11" t="str">
        <x:v>Not started</x:v>
      </x:c>
      <x:c r="G20" s="5" t="n">
        <x:v>15</x:v>
      </x:c>
      <x:c r="H20" s="5" t="str">
        <x:v>Integrations, Agentic Workflows, Agent OS, AI Agents, Agent Studio, Agent Skills, Files &amp; Documents, AI Website Builder, Databases, Agentic Automation, Self Learning, Evaluations, Analytics and Observability, Deployment Options, Security and Compliance</x:v>
      </x:c>
      <x:c r="I20" s="5" t="str">
        <x:v>Editable SVG + 1200 x 1000 WebP</x:v>
      </x:c>
    </x:row>
    <x:row r="21" ht="38" customHeight="1">
      <x:c r="A21" s="10" t="str">
        <x:v>A016</x:v>
      </x:c>
      <x:c r="B21" s="10" t="str">
        <x:v>Notetaker hero background</x:v>
      </x:c>
      <x:c r="C21" s="10" t="str">
        <x:v>Reuse the existing Paper SVG as a separate background layer. No new background required.</x:v>
      </x:c>
      <x:c r="D21" s="10" t="str">
        <x:v>Reuse</x:v>
      </x:c>
      <x:c r="E21" s="10" t="str">
        <x:v>Existing</x:v>
      </x:c>
      <x:c r="F21" s="11" t="str">
        <x:v>Existing</x:v>
      </x:c>
      <x:c r="G21" s="10" t="n">
        <x:v>3</x:v>
      </x:c>
      <x:c r="H21" s="10" t="str">
        <x:v>Agentic Workflows, Files &amp; Documents, Evaluations</x:v>
      </x:c>
      <x:c r="I21" s="10" t="str">
        <x:v>Existing scalable SVG</x:v>
      </x:c>
    </x:row>
    <x:row r="22" ht="38" customHeight="1">
      <x:c r="A22" s="5" t="str">
        <x:v>A017</x:v>
      </x:c>
      <x:c r="B22" s="5" t="str">
        <x:v>Agentic Workflows / Workflow Builder</x:v>
      </x:c>
      <x:c r="C22" s="5" t="str">
        <x:v>A floating workflow canvas with connected trigger, condition, action and review nodes.</x:v>
      </x:c>
      <x:c r="D22" s="5" t="str">
        <x:v>Rework</x:v>
      </x:c>
      <x:c r="E22" s="5" t="str">
        <x:v>High</x:v>
      </x:c>
      <x:c r="F22" s="11" t="str">
        <x:v>Not started</x:v>
      </x:c>
      <x:c r="G22" s="5" t="n">
        <x:v>2</x:v>
      </x:c>
      <x:c r="H22" s="5" t="str">
        <x:v>Agentic Workflows</x:v>
      </x:c>
      <x:c r="I22" s="5" t="str">
        <x:v>Editable SVG/layers + 1200 x 1200 WebP</x:v>
      </x:c>
    </x:row>
    <x:row r="23" ht="38" customHeight="1">
      <x:c r="A23" s="10" t="str">
        <x:v>A018</x:v>
      </x:c>
      <x:c r="B23" s="10" t="str">
        <x:v>Agentic Workflows overview</x:v>
      </x:c>
      <x:c r="C23" s="10" t="str">
        <x:v>A wide workflow canvas showing a request, connected steps and a reviewable outcome.</x:v>
      </x:c>
      <x:c r="D23" s="10" t="str">
        <x:v>Rework</x:v>
      </x:c>
      <x:c r="E23" s="10" t="str">
        <x:v>Standard</x:v>
      </x:c>
      <x:c r="F23" s="11" t="str">
        <x:v>Not started</x:v>
      </x:c>
      <x:c r="G23" s="10" t="n">
        <x:v>1</x:v>
      </x:c>
      <x:c r="H23" s="10" t="str">
        <x:v>Agentic Workflows</x:v>
      </x:c>
      <x:c r="I23" s="10" t="str">
        <x:v>Editable layers + 1920 x 620 WebP</x:v>
      </x:c>
    </x:row>
    <x:row r="24" ht="38" customHeight="1">
      <x:c r="A24" s="5" t="str">
        <x:v>A019</x:v>
      </x:c>
      <x:c r="B24" s="5" t="str">
        <x:v>Agentic Workflows / Repeatable Steps</x:v>
      </x:c>
      <x:c r="C24" s="5" t="str">
        <x:v>Three reusable workflow steps arranged as a small sequence with a repeat control.</x:v>
      </x:c>
      <x:c r="D24" s="5" t="str">
        <x:v>Create</x:v>
      </x:c>
      <x:c r="E24" s="5" t="str">
        <x:v>Standard</x:v>
      </x:c>
      <x:c r="F24" s="11" t="str">
        <x:v>Not started</x:v>
      </x:c>
      <x:c r="G24" s="5" t="n">
        <x:v>1</x:v>
      </x:c>
      <x:c r="H24" s="5" t="str">
        <x:v>Agentic Workflows</x:v>
      </x:c>
      <x:c r="I24" s="5" t="str">
        <x:v>1200 x 1000 WebP crop of shared master</x:v>
      </x:c>
    </x:row>
    <x:row r="25" ht="38" customHeight="1">
      <x:c r="A25" s="10" t="str">
        <x:v>A020</x:v>
      </x:c>
      <x:c r="B25" s="10" t="str">
        <x:v>Agentic Workflows / Shared Understanding</x:v>
      </x:c>
      <x:c r="C25" s="10" t="str">
        <x:v>A shared workflow map with owner avatars and one clear handoff between teammates.</x:v>
      </x:c>
      <x:c r="D25" s="10" t="str">
        <x:v>Create</x:v>
      </x:c>
      <x:c r="E25" s="10" t="str">
        <x:v>Standard</x:v>
      </x:c>
      <x:c r="F25" s="11" t="str">
        <x:v>Not started</x:v>
      </x:c>
      <x:c r="G25" s="10" t="n">
        <x:v>1</x:v>
      </x:c>
      <x:c r="H25" s="10" t="str">
        <x:v>Agentic Workflows</x:v>
      </x:c>
      <x:c r="I25" s="10" t="str">
        <x:v>1200 x 1000 WebP crop of shared master</x:v>
      </x:c>
    </x:row>
    <x:row r="26" ht="32" customHeight="1">
      <x:c r="A26" s="5" t="str">
        <x:v>A021</x:v>
      </x:c>
      <x:c r="B26" s="5" t="str">
        <x:v>Agentic Workflows / Useful Follow Up</x:v>
      </x:c>
      <x:c r="C26" s="5" t="str">
        <x:v>A completed run with its linked next action and assigned owner.</x:v>
      </x:c>
      <x:c r="D26" s="5" t="str">
        <x:v>Create</x:v>
      </x:c>
      <x:c r="E26" s="5" t="str">
        <x:v>Standard</x:v>
      </x:c>
      <x:c r="F26" s="11" t="str">
        <x:v>Not started</x:v>
      </x:c>
      <x:c r="G26" s="5" t="n">
        <x:v>1</x:v>
      </x:c>
      <x:c r="H26" s="5" t="str">
        <x:v>Agentic Workflows</x:v>
      </x:c>
      <x:c r="I26" s="5" t="str">
        <x:v>1200 x 1000 WebP crop of shared master</x:v>
      </x:c>
    </x:row>
    <x:row r="27" ht="38" customHeight="1">
      <x:c r="A27" s="10" t="str">
        <x:v>A022</x:v>
      </x:c>
      <x:c r="B27" s="10" t="str">
        <x:v>Agentic Workflows / Triggers And Conditions</x:v>
      </x:c>
      <x:c r="C27" s="10" t="str">
        <x:v>A trigger setup panel next to a branching condition, showing the rule that starts each path.</x:v>
      </x:c>
      <x:c r="D27" s="10" t="str">
        <x:v>Rework</x:v>
      </x:c>
      <x:c r="E27" s="10" t="str">
        <x:v>Standard</x:v>
      </x:c>
      <x:c r="F27" s="11" t="str">
        <x:v>Not started</x:v>
      </x:c>
      <x:c r="G27" s="10" t="n">
        <x:v>1</x:v>
      </x:c>
      <x:c r="H27" s="10" t="str">
        <x:v>Agentic Workflows</x:v>
      </x:c>
      <x:c r="I27" s="10" t="str">
        <x:v>Editable SVG/layers + 1200 x 1200 WebP</x:v>
      </x:c>
    </x:row>
    <x:row r="28" ht="38" customHeight="1">
      <x:c r="A28" s="5" t="str">
        <x:v>A023</x:v>
      </x:c>
      <x:c r="B28" s="5" t="str">
        <x:v>Agentic Workflows / Activity Overview</x:v>
      </x:c>
      <x:c r="C28" s="5" t="str">
        <x:v>An activity dashboard with recent workflow runs, current steps and an exception awaiting review.</x:v>
      </x:c>
      <x:c r="D28" s="5" t="str">
        <x:v>Rework</x:v>
      </x:c>
      <x:c r="E28" s="5" t="str">
        <x:v>Standard</x:v>
      </x:c>
      <x:c r="F28" s="11" t="str">
        <x:v>Not started</x:v>
      </x:c>
      <x:c r="G28" s="5" t="n">
        <x:v>1</x:v>
      </x:c>
      <x:c r="H28" s="5" t="str">
        <x:v>Agentic Workflows</x:v>
      </x:c>
      <x:c r="I28" s="5" t="str">
        <x:v>Editable SVG/layers + 1200 x 1200 WebP</x:v>
      </x:c>
    </x:row>
    <x:row r="29" ht="38" customHeight="1">
      <x:c r="A29" s="10" t="str">
        <x:v>A024</x:v>
      </x:c>
      <x:c r="B29" s="10" t="str">
        <x:v>Agentic Workflows / Workflow History</x:v>
      </x:c>
      <x:c r="C29" s="10" t="str">
        <x:v>A run-history timeline with an expanded execution and its ordered steps.</x:v>
      </x:c>
      <x:c r="D29" s="10" t="str">
        <x:v>Rework</x:v>
      </x:c>
      <x:c r="E29" s="10" t="str">
        <x:v>Standard</x:v>
      </x:c>
      <x:c r="F29" s="11" t="str">
        <x:v>Not started</x:v>
      </x:c>
      <x:c r="G29" s="10" t="n">
        <x:v>1</x:v>
      </x:c>
      <x:c r="H29" s="10" t="str">
        <x:v>Agentic Workflows</x:v>
      </x:c>
      <x:c r="I29" s="10" t="str">
        <x:v>Editable SVG/layers + 1200 x 1200 WebP</x:v>
      </x:c>
    </x:row>
    <x:row r="30" ht="38" customHeight="1">
      <x:c r="A30" s="5" t="str">
        <x:v>A025</x:v>
      </x:c>
      <x:c r="B30" s="5" t="str">
        <x:v>Contacts hero background</x:v>
      </x:c>
      <x:c r="C30" s="5" t="str">
        <x:v>Reuse the existing Paper SVG as a separate background layer. No new background required.</x:v>
      </x:c>
      <x:c r="D30" s="5" t="str">
        <x:v>Reuse</x:v>
      </x:c>
      <x:c r="E30" s="5" t="str">
        <x:v>Existing</x:v>
      </x:c>
      <x:c r="F30" s="11" t="str">
        <x:v>Existing</x:v>
      </x:c>
      <x:c r="G30" s="5" t="n">
        <x:v>3</x:v>
      </x:c>
      <x:c r="H30" s="5" t="str">
        <x:v>Agent OS, AI Website Builder, Analytics and Observability</x:v>
      </x:c>
      <x:c r="I30" s="5" t="str">
        <x:v>Existing scalable SVG</x:v>
      </x:c>
    </x:row>
    <x:row r="31" ht="38" customHeight="1">
      <x:c r="A31" s="10" t="str">
        <x:v>A026</x:v>
      </x:c>
      <x:c r="B31" s="10" t="str">
        <x:v>Agent OS / Graph Based Execution</x:v>
      </x:c>
      <x:c r="C31" s="10" t="str">
        <x:v>A branching agent graph with one highlighted route from request to reviewed output.</x:v>
      </x:c>
      <x:c r="D31" s="10" t="str">
        <x:v>Create</x:v>
      </x:c>
      <x:c r="E31" s="10" t="str">
        <x:v>High</x:v>
      </x:c>
      <x:c r="F31" s="11" t="str">
        <x:v>Not started</x:v>
      </x:c>
      <x:c r="G31" s="10" t="n">
        <x:v>3</x:v>
      </x:c>
      <x:c r="H31" s="10" t="str">
        <x:v>Agent OS</x:v>
      </x:c>
      <x:c r="I31" s="10" t="str">
        <x:v>Editable SVG/layers + 1200 x 1200 WebP; 1200 x 1000 WebP crop of shared master</x:v>
      </x:c>
    </x:row>
    <x:row r="32" ht="38" customHeight="1">
      <x:c r="A32" s="5" t="str">
        <x:v>A027</x:v>
      </x:c>
      <x:c r="B32" s="5" t="str">
        <x:v>Agent OS / Unified Building Blocks</x:v>
      </x:c>
      <x:c r="C32" s="5" t="str">
        <x:v>Reusable skill, tool and trigger blocks snapping into a single workflow.</x:v>
      </x:c>
      <x:c r="D32" s="5" t="str">
        <x:v>Create</x:v>
      </x:c>
      <x:c r="E32" s="5" t="str">
        <x:v>Standard</x:v>
      </x:c>
      <x:c r="F32" s="11" t="str">
        <x:v>Not started</x:v>
      </x:c>
      <x:c r="G32" s="5" t="n">
        <x:v>2</x:v>
      </x:c>
      <x:c r="H32" s="5" t="str">
        <x:v>Agent OS</x:v>
      </x:c>
      <x:c r="I32" s="5" t="str">
        <x:v>1200 x 1000 WebP crop of shared master; Editable SVG/layers + 1200 x 1200 WebP</x:v>
      </x:c>
    </x:row>
    <x:row r="33" ht="38" customHeight="1">
      <x:c r="A33" s="10" t="str">
        <x:v>A028</x:v>
      </x:c>
      <x:c r="B33" s="10" t="str">
        <x:v>Agent OS / Multi Agent Orchestration</x:v>
      </x:c>
      <x:c r="C33" s="10" t="str">
        <x:v>Three agent role cards passing one shared task and its context between them.</x:v>
      </x:c>
      <x:c r="D33" s="10" t="str">
        <x:v>Create</x:v>
      </x:c>
      <x:c r="E33" s="10" t="str">
        <x:v>Standard</x:v>
      </x:c>
      <x:c r="F33" s="11" t="str">
        <x:v>Not started</x:v>
      </x:c>
      <x:c r="G33" s="10" t="n">
        <x:v>2</x:v>
      </x:c>
      <x:c r="H33" s="10" t="str">
        <x:v>Agent OS</x:v>
      </x:c>
      <x:c r="I33" s="10" t="str">
        <x:v>1200 x 1000 WebP crop of shared master; Editable SVG/layers + 1200 x 1200 WebP</x:v>
      </x:c>
    </x:row>
    <x:row r="34" ht="38" customHeight="1">
      <x:c r="A34" s="5" t="str">
        <x:v>A029</x:v>
      </x:c>
      <x:c r="B34" s="5" t="str">
        <x:v>Agent OS / Review And Iteration</x:v>
      </x:c>
      <x:c r="C34" s="5" t="str">
        <x:v>A run review panel showing a correction beside a revised workflow step.</x:v>
      </x:c>
      <x:c r="D34" s="5" t="str">
        <x:v>Create</x:v>
      </x:c>
      <x:c r="E34" s="5" t="str">
        <x:v>Standard</x:v>
      </x:c>
      <x:c r="F34" s="11" t="str">
        <x:v>Not started</x:v>
      </x:c>
      <x:c r="G34" s="5" t="n">
        <x:v>2</x:v>
      </x:c>
      <x:c r="H34" s="5" t="str">
        <x:v>Agent OS</x:v>
      </x:c>
      <x:c r="I34" s="5" t="str">
        <x:v>1200 x 1000 WebP crop of shared master; Editable SVG/layers + 1200 x 1200 WebP</x:v>
      </x:c>
    </x:row>
    <x:row r="35" ht="38" customHeight="1">
      <x:c r="A35" s="10" t="str">
        <x:v>A030</x:v>
      </x:c>
      <x:c r="B35" s="10" t="str">
        <x:v>Agent OS / Evaluation Framework</x:v>
      </x:c>
      <x:c r="C35" s="10" t="str">
        <x:v>A result checklist comparing expected and actual outputs, with one item needing review.</x:v>
      </x:c>
      <x:c r="D35" s="10" t="str">
        <x:v>Create</x:v>
      </x:c>
      <x:c r="E35" s="10" t="str">
        <x:v>Standard</x:v>
      </x:c>
      <x:c r="F35" s="11" t="str">
        <x:v>Not started</x:v>
      </x:c>
      <x:c r="G35" s="10" t="n">
        <x:v>2</x:v>
      </x:c>
      <x:c r="H35" s="10" t="str">
        <x:v>Agent OS</x:v>
      </x:c>
      <x:c r="I35" s="10" t="str">
        <x:v>1200 x 1000 WebP crop of shared master; Editable SVG/layers + 1200 x 1200 WebP</x:v>
      </x:c>
    </x:row>
    <x:row r="36" ht="38" customHeight="1">
      <x:c r="A36" s="5" t="str">
        <x:v>A031</x:v>
      </x:c>
      <x:c r="B36" s="5" t="str">
        <x:v>Agent OS / Human In The Loop</x:v>
      </x:c>
      <x:c r="C36" s="5" t="str">
        <x:v>An approval inbox with a proposed action, supporting context and approve or revise controls.</x:v>
      </x:c>
      <x:c r="D36" s="5" t="str">
        <x:v>Create</x:v>
      </x:c>
      <x:c r="E36" s="5" t="str">
        <x:v>Standard</x:v>
      </x:c>
      <x:c r="F36" s="11" t="str">
        <x:v>Not started</x:v>
      </x:c>
      <x:c r="G36" s="5" t="n">
        <x:v>2</x:v>
      </x:c>
      <x:c r="H36" s="5" t="str">
        <x:v>Agent OS</x:v>
      </x:c>
      <x:c r="I36" s="5" t="str">
        <x:v>1200 x 1000 WebP crop of shared master; Editable SVG/layers + 1200 x 1200 WebP</x:v>
      </x:c>
    </x:row>
    <x:row r="37" ht="38" customHeight="1">
      <x:c r="A37" s="10" t="str">
        <x:v>A032</x:v>
      </x:c>
      <x:c r="B37" s="10" t="str">
        <x:v>Agent OS / Model Flexibility</x:v>
      </x:c>
      <x:c r="C37" s="10" t="str">
        <x:v>A model selection panel assigning different models to drafting, reasoning and extraction tasks.</x:v>
      </x:c>
      <x:c r="D37" s="10" t="str">
        <x:v>Create</x:v>
      </x:c>
      <x:c r="E37" s="10" t="str">
        <x:v>Standard</x:v>
      </x:c>
      <x:c r="F37" s="11" t="str">
        <x:v>Not started</x:v>
      </x:c>
      <x:c r="G37" s="10" t="n">
        <x:v>2</x:v>
      </x:c>
      <x:c r="H37" s="10" t="str">
        <x:v>Agent OS</x:v>
      </x:c>
      <x:c r="I37" s="10" t="str">
        <x:v>1200 x 1000 WebP crop of shared master; Editable SVG/layers + 1200 x 1200 WebP</x:v>
      </x:c>
    </x:row>
    <x:row r="38" ht="38" customHeight="1">
      <x:c r="A38" s="5" t="str">
        <x:v>A033</x:v>
      </x:c>
      <x:c r="B38" s="5" t="str">
        <x:v>Agent OS / Memory System</x:v>
      </x:c>
      <x:c r="C38" s="5" t="str">
        <x:v>A memory drawer attaching a relevant document and prior decision to the current task.</x:v>
      </x:c>
      <x:c r="D38" s="5" t="str">
        <x:v>Create</x:v>
      </x:c>
      <x:c r="E38" s="5" t="str">
        <x:v>Standard</x:v>
      </x:c>
      <x:c r="F38" s="11" t="str">
        <x:v>Not started</x:v>
      </x:c>
      <x:c r="G38" s="5" t="n">
        <x:v>2</x:v>
      </x:c>
      <x:c r="H38" s="5" t="str">
        <x:v>Agent OS</x:v>
      </x:c>
      <x:c r="I38" s="5" t="str">
        <x:v>1200 x 1000 WebP crop of shared master; Editable SVG/layers + 1200 x 1200 WebP</x:v>
      </x:c>
    </x:row>
    <x:row r="39" ht="38" customHeight="1">
      <x:c r="A39" s="10" t="str">
        <x:v>A034</x:v>
      </x:c>
      <x:c r="B39" s="10" t="str">
        <x:v>Payments hero background</x:v>
      </x:c>
      <x:c r="C39" s="10" t="str">
        <x:v>Reuse the existing Paper SVG as a separate background layer. No new background required.</x:v>
      </x:c>
      <x:c r="D39" s="10" t="str">
        <x:v>Reuse</x:v>
      </x:c>
      <x:c r="E39" s="10" t="str">
        <x:v>Existing</x:v>
      </x:c>
      <x:c r="F39" s="11" t="str">
        <x:v>Existing</x:v>
      </x:c>
      <x:c r="G39" s="10" t="n">
        <x:v>3</x:v>
      </x:c>
      <x:c r="H39" s="10" t="str">
        <x:v>AI Agents, Databases, Deployment Options</x:v>
      </x:c>
      <x:c r="I39" s="10" t="str">
        <x:v>Existing scalable SVG</x:v>
      </x:c>
    </x:row>
    <x:row r="40" ht="38" customHeight="1">
      <x:c r="A40" s="5" t="str">
        <x:v>A035</x:v>
      </x:c>
      <x:c r="B40" s="5" t="str">
        <x:v>AI Agents / Problem Solver</x:v>
      </x:c>
      <x:c r="C40" s="5" t="str">
        <x:v>An incoming business question, linked evidence cards and a draft answer ready for review.</x:v>
      </x:c>
      <x:c r="D40" s="5" t="str">
        <x:v>Create</x:v>
      </x:c>
      <x:c r="E40" s="5" t="str">
        <x:v>High</x:v>
      </x:c>
      <x:c r="F40" s="11" t="str">
        <x:v>Not started</x:v>
      </x:c>
      <x:c r="G40" s="5" t="n">
        <x:v>3</x:v>
      </x:c>
      <x:c r="H40" s="5" t="str">
        <x:v>AI Agents</x:v>
      </x:c>
      <x:c r="I40" s="5" t="str">
        <x:v>Editable SVG/layers + 1200 x 1200 WebP; 1200 x 1000 WebP crop of shared master</x:v>
      </x:c>
    </x:row>
    <x:row r="41" ht="38" customHeight="1">
      <x:c r="A41" s="10" t="str">
        <x:v>A036</x:v>
      </x:c>
      <x:c r="B41" s="10" t="str">
        <x:v>AI Agents / Intelligent Planning</x:v>
      </x:c>
      <x:c r="C41" s="10" t="str">
        <x:v>A request turning into an ordered plan with dependencies and a human review step.</x:v>
      </x:c>
      <x:c r="D41" s="10" t="str">
        <x:v>Create</x:v>
      </x:c>
      <x:c r="E41" s="10" t="str">
        <x:v>Standard</x:v>
      </x:c>
      <x:c r="F41" s="11" t="str">
        <x:v>Not started</x:v>
      </x:c>
      <x:c r="G41" s="10" t="n">
        <x:v>2</x:v>
      </x:c>
      <x:c r="H41" s="10" t="str">
        <x:v>AI Agents</x:v>
      </x:c>
      <x:c r="I41" s="10" t="str">
        <x:v>1200 x 1000 WebP crop of shared master; Editable SVG/layers + 1200 x 1200 WebP</x:v>
      </x:c>
    </x:row>
    <x:row r="42" ht="38" customHeight="1">
      <x:c r="A42" s="5" t="str">
        <x:v>A037</x:v>
      </x:c>
      <x:c r="B42" s="5" t="str">
        <x:v>AI Agents / Integrations Tools</x:v>
      </x:c>
      <x:c r="C42" s="5" t="str">
        <x:v>An agent connecting to an inbox, shared files and a record system through scoped tool cards.</x:v>
      </x:c>
      <x:c r="D42" s="5" t="str">
        <x:v>Create</x:v>
      </x:c>
      <x:c r="E42" s="5" t="str">
        <x:v>Standard</x:v>
      </x:c>
      <x:c r="F42" s="11" t="str">
        <x:v>Not started</x:v>
      </x:c>
      <x:c r="G42" s="5" t="n">
        <x:v>2</x:v>
      </x:c>
      <x:c r="H42" s="5" t="str">
        <x:v>AI Agents</x:v>
      </x:c>
      <x:c r="I42" s="5" t="str">
        <x:v>1200 x 1000 WebP crop of shared master; Editable SVG/layers + 1200 x 1200 WebP</x:v>
      </x:c>
    </x:row>
    <x:row r="43" ht="38" customHeight="1">
      <x:c r="A43" s="10" t="str">
        <x:v>A038</x:v>
      </x:c>
      <x:c r="B43" s="10" t="str">
        <x:v>AI Agents / Agentic Execution</x:v>
      </x:c>
      <x:c r="C43" s="10" t="str">
        <x:v>An agent task progressing through a tool action, status update and reviewed completion.</x:v>
      </x:c>
      <x:c r="D43" s="10" t="str">
        <x:v>Create</x:v>
      </x:c>
      <x:c r="E43" s="10" t="str">
        <x:v>Standard</x:v>
      </x:c>
      <x:c r="F43" s="11" t="str">
        <x:v>Not started</x:v>
      </x:c>
      <x:c r="G43" s="10" t="n">
        <x:v>2</x:v>
      </x:c>
      <x:c r="H43" s="10" t="str">
        <x:v>AI Agents</x:v>
      </x:c>
      <x:c r="I43" s="10" t="str">
        <x:v>1200 x 1000 WebP crop of shared master; Editable SVG/layers + 1200 x 1200 WebP</x:v>
      </x:c>
    </x:row>
    <x:row r="44" ht="38" customHeight="1">
      <x:c r="A44" s="5" t="str">
        <x:v>A039</x:v>
      </x:c>
      <x:c r="B44" s="5" t="str">
        <x:v>AI Agents / Agent Character</x:v>
      </x:c>
      <x:c r="C44" s="5" t="str">
        <x:v>An agent settings panel with its role, instructions and boundaries beside a matching draft response.</x:v>
      </x:c>
      <x:c r="D44" s="5" t="str">
        <x:v>Create</x:v>
      </x:c>
      <x:c r="E44" s="5" t="str">
        <x:v>Standard</x:v>
      </x:c>
      <x:c r="F44" s="11" t="str">
        <x:v>Not started</x:v>
      </x:c>
      <x:c r="G44" s="5" t="n">
        <x:v>2</x:v>
      </x:c>
      <x:c r="H44" s="5" t="str">
        <x:v>AI Agents</x:v>
      </x:c>
      <x:c r="I44" s="5" t="str">
        <x:v>1200 x 1000 WebP crop of shared master; Editable SVG/layers + 1200 x 1200 WebP</x:v>
      </x:c>
    </x:row>
    <x:row r="45" ht="38" customHeight="1">
      <x:c r="A45" s="10" t="str">
        <x:v>A040</x:v>
      </x:c>
      <x:c r="B45" s="10" t="str">
        <x:v>AI Agents / Templates</x:v>
      </x:c>
      <x:c r="C45" s="10" t="str">
        <x:v>A template picker with one reusable agent example expanded into editable steps.</x:v>
      </x:c>
      <x:c r="D45" s="10" t="str">
        <x:v>Create</x:v>
      </x:c>
      <x:c r="E45" s="10" t="str">
        <x:v>Standard</x:v>
      </x:c>
      <x:c r="F45" s="11" t="str">
        <x:v>Not started</x:v>
      </x:c>
      <x:c r="G45" s="10" t="n">
        <x:v>2</x:v>
      </x:c>
      <x:c r="H45" s="10" t="str">
        <x:v>AI Agents</x:v>
      </x:c>
      <x:c r="I45" s="10" t="str">
        <x:v>1200 x 1000 WebP crop of shared master; Editable SVG/layers + 1200 x 1200 WebP</x:v>
      </x:c>
    </x:row>
    <x:row r="46" ht="38" customHeight="1">
      <x:c r="A46" s="5" t="str">
        <x:v>A041</x:v>
      </x:c>
      <x:c r="B46" s="5" t="str">
        <x:v>AI Agents / Learning Agent</x:v>
      </x:c>
      <x:c r="C46" s="5" t="str">
        <x:v>A corrected result becoming a proposed instruction update before a comparison test.</x:v>
      </x:c>
      <x:c r="D46" s="5" t="str">
        <x:v>Create</x:v>
      </x:c>
      <x:c r="E46" s="5" t="str">
        <x:v>Standard</x:v>
      </x:c>
      <x:c r="F46" s="11" t="str">
        <x:v>Not started</x:v>
      </x:c>
      <x:c r="G46" s="5" t="n">
        <x:v>2</x:v>
      </x:c>
      <x:c r="H46" s="5" t="str">
        <x:v>AI Agents</x:v>
      </x:c>
      <x:c r="I46" s="5" t="str">
        <x:v>1200 x 1000 WebP crop of shared master; Editable SVG/layers + 1200 x 1200 WebP</x:v>
      </x:c>
    </x:row>
    <x:row r="47" ht="38" customHeight="1">
      <x:c r="A47" s="10" t="str">
        <x:v>A042</x:v>
      </x:c>
      <x:c r="B47" s="10" t="str">
        <x:v>AI Agents / Human In The Loop</x:v>
      </x:c>
      <x:c r="C47" s="10" t="str">
        <x:v>A person reviewing an agent proposal with context and an explicit approval control.</x:v>
      </x:c>
      <x:c r="D47" s="10" t="str">
        <x:v>Create</x:v>
      </x:c>
      <x:c r="E47" s="10" t="str">
        <x:v>Standard</x:v>
      </x:c>
      <x:c r="F47" s="11" t="str">
        <x:v>Not started</x:v>
      </x:c>
      <x:c r="G47" s="10" t="n">
        <x:v>2</x:v>
      </x:c>
      <x:c r="H47" s="10" t="str">
        <x:v>AI Agents</x:v>
      </x:c>
      <x:c r="I47" s="10" t="str">
        <x:v>1200 x 1000 WebP crop of shared master; Editable SVG/layers + 1200 x 1200 WebP</x:v>
      </x:c>
    </x:row>
    <x:row r="48" ht="38" customHeight="1">
      <x:c r="A48" s="5" t="str">
        <x:v>A043</x:v>
      </x:c>
      <x:c r="B48" s="5" t="str">
        <x:v>Assistant interactive workspace</x:v>
      </x:c>
      <x:c r="C48" s="5" t="str">
        <x:v>Retain the existing interactive workspace. Optional static poster only if a still image is needed.</x:v>
      </x:c>
      <x:c r="D48" s="5" t="str">
        <x:v>Reuse</x:v>
      </x:c>
      <x:c r="E48" s="5" t="str">
        <x:v>Existing</x:v>
      </x:c>
      <x:c r="F48" s="11" t="str">
        <x:v>Existing</x:v>
      </x:c>
      <x:c r="G48" s="5" t="n">
        <x:v>1</x:v>
      </x:c>
      <x:c r="H48" s="5" t="str">
        <x:v>AI Agents</x:v>
      </x:c>
      <x:c r="I48" s="5" t="str">
        <x:v>Live component; optional 1920 px wide poster</x:v>
      </x:c>
    </x:row>
    <x:row r="49" ht="38" customHeight="1">
      <x:c r="A49" s="10" t="str">
        <x:v>A044</x:v>
      </x:c>
      <x:c r="B49" s="10" t="str">
        <x:v>Agent Studio / Creation Paths</x:v>
      </x:c>
      <x:c r="C49" s="10" t="str">
        <x:v>Three creation entry cards: choose a template, describe a workflow, or start with a blank canvas.</x:v>
      </x:c>
      <x:c r="D49" s="10" t="str">
        <x:v>Create</x:v>
      </x:c>
      <x:c r="E49" s="10" t="str">
        <x:v>High</x:v>
      </x:c>
      <x:c r="F49" s="11" t="str">
        <x:v>Not started</x:v>
      </x:c>
      <x:c r="G49" s="10" t="n">
        <x:v>3</x:v>
      </x:c>
      <x:c r="H49" s="10" t="str">
        <x:v>Agent Studio</x:v>
      </x:c>
      <x:c r="I49" s="10" t="str">
        <x:v>Editable SVG/layers + 1200 x 1200 WebP; 1200 x 1000 WebP crop of shared master</x:v>
      </x:c>
    </x:row>
    <x:row r="50" ht="38" customHeight="1">
      <x:c r="A50" s="5" t="str">
        <x:v>A045</x:v>
      </x:c>
      <x:c r="B50" s="5" t="str">
        <x:v>Agent Studio / Connectors</x:v>
      </x:c>
      <x:c r="C50" s="5" t="str">
        <x:v>A connectors drawer showing connected tools, their permission scopes and a selected action.</x:v>
      </x:c>
      <x:c r="D50" s="5" t="str">
        <x:v>Create</x:v>
      </x:c>
      <x:c r="E50" s="5" t="str">
        <x:v>Standard</x:v>
      </x:c>
      <x:c r="F50" s="11" t="str">
        <x:v>Not started</x:v>
      </x:c>
      <x:c r="G50" s="5" t="n">
        <x:v>2</x:v>
      </x:c>
      <x:c r="H50" s="5" t="str">
        <x:v>Agent Studio</x:v>
      </x:c>
      <x:c r="I50" s="5" t="str">
        <x:v>1200 x 1000 WebP crop of shared master; Editable SVG/layers + 1200 x 1200 WebP</x:v>
      </x:c>
    </x:row>
    <x:row r="51" ht="38" customHeight="1">
      <x:c r="A51" s="10" t="str">
        <x:v>A046</x:v>
      </x:c>
      <x:c r="B51" s="10" t="str">
        <x:v>Agent Studio / Visual Builder</x:v>
      </x:c>
      <x:c r="C51" s="10" t="str">
        <x:v>A visual editor with connected steps and an open configuration drawer for one selected node.</x:v>
      </x:c>
      <x:c r="D51" s="10" t="str">
        <x:v>Create</x:v>
      </x:c>
      <x:c r="E51" s="10" t="str">
        <x:v>Standard</x:v>
      </x:c>
      <x:c r="F51" s="11" t="str">
        <x:v>Not started</x:v>
      </x:c>
      <x:c r="G51" s="10" t="n">
        <x:v>2</x:v>
      </x:c>
      <x:c r="H51" s="10" t="str">
        <x:v>Agent Studio</x:v>
      </x:c>
      <x:c r="I51" s="10" t="str">
        <x:v>1200 x 1000 WebP crop of shared master; Editable SVG/layers + 1200 x 1200 WebP</x:v>
      </x:c>
    </x:row>
    <x:row r="52" ht="38" customHeight="1">
      <x:c r="A52" s="5" t="str">
        <x:v>A047</x:v>
      </x:c>
      <x:c r="B52" s="5" t="str">
        <x:v>Agent Studio / Templates</x:v>
      </x:c>
      <x:c r="C52" s="5" t="str">
        <x:v>A skill library card expanding into a preconfigured, editable operation.</x:v>
      </x:c>
      <x:c r="D52" s="5" t="str">
        <x:v>Create</x:v>
      </x:c>
      <x:c r="E52" s="5" t="str">
        <x:v>Standard</x:v>
      </x:c>
      <x:c r="F52" s="11" t="str">
        <x:v>Not started</x:v>
      </x:c>
      <x:c r="G52" s="5" t="n">
        <x:v>2</x:v>
      </x:c>
      <x:c r="H52" s="5" t="str">
        <x:v>Agent Studio</x:v>
      </x:c>
      <x:c r="I52" s="5" t="str">
        <x:v>1200 x 1000 WebP crop of shared master; Editable SVG/layers + 1200 x 1200 WebP</x:v>
      </x:c>
    </x:row>
    <x:row r="53" ht="38" customHeight="1">
      <x:c r="A53" s="10" t="str">
        <x:v>A048</x:v>
      </x:c>
      <x:c r="B53" s="10" t="str">
        <x:v>Agent Studio / Testing</x:v>
      </x:c>
      <x:c r="C53" s="10" t="str">
        <x:v>A workflow test console with sample input, expected output and a reviewable test result.</x:v>
      </x:c>
      <x:c r="D53" s="10" t="str">
        <x:v>Create</x:v>
      </x:c>
      <x:c r="E53" s="10" t="str">
        <x:v>Standard</x:v>
      </x:c>
      <x:c r="F53" s="11" t="str">
        <x:v>Not started</x:v>
      </x:c>
      <x:c r="G53" s="10" t="n">
        <x:v>2</x:v>
      </x:c>
      <x:c r="H53" s="10" t="str">
        <x:v>Agent Studio</x:v>
      </x:c>
      <x:c r="I53" s="10" t="str">
        <x:v>1200 x 1000 WebP crop of shared master; Editable SVG/layers + 1200 x 1200 WebP</x:v>
      </x:c>
    </x:row>
    <x:row r="54" ht="38" customHeight="1">
      <x:c r="A54" s="5" t="str">
        <x:v>A049</x:v>
      </x:c>
      <x:c r="B54" s="5" t="str">
        <x:v>Agent Studio / Debugging</x:v>
      </x:c>
      <x:c r="C54" s="5" t="str">
        <x:v>A step-by-step trace with one flagged step and its input and output panels expanded.</x:v>
      </x:c>
      <x:c r="D54" s="5" t="str">
        <x:v>Create</x:v>
      </x:c>
      <x:c r="E54" s="5" t="str">
        <x:v>Standard</x:v>
      </x:c>
      <x:c r="F54" s="11" t="str">
        <x:v>Not started</x:v>
      </x:c>
      <x:c r="G54" s="5" t="n">
        <x:v>2</x:v>
      </x:c>
      <x:c r="H54" s="5" t="str">
        <x:v>Agent Studio</x:v>
      </x:c>
      <x:c r="I54" s="5" t="str">
        <x:v>1200 x 1000 WebP crop of shared master; Editable SVG/layers + 1200 x 1200 WebP</x:v>
      </x:c>
    </x:row>
    <x:row r="55" ht="38" customHeight="1">
      <x:c r="A55" s="10" t="str">
        <x:v>A050</x:v>
      </x:c>
      <x:c r="B55" s="10" t="str">
        <x:v>Agent Studio / Learning</x:v>
      </x:c>
      <x:c r="C55" s="10" t="str">
        <x:v>A feedback annotation beside a proposed revision and a comparison test.</x:v>
      </x:c>
      <x:c r="D55" s="10" t="str">
        <x:v>Create</x:v>
      </x:c>
      <x:c r="E55" s="10" t="str">
        <x:v>Standard</x:v>
      </x:c>
      <x:c r="F55" s="11" t="str">
        <x:v>Not started</x:v>
      </x:c>
      <x:c r="G55" s="10" t="n">
        <x:v>2</x:v>
      </x:c>
      <x:c r="H55" s="10" t="str">
        <x:v>Agent Studio</x:v>
      </x:c>
      <x:c r="I55" s="10" t="str">
        <x:v>1200 x 1000 WebP crop of shared master; Editable SVG/layers + 1200 x 1200 WebP</x:v>
      </x:c>
    </x:row>
    <x:row r="56" ht="38" customHeight="1">
      <x:c r="A56" s="5" t="str">
        <x:v>A051</x:v>
      </x:c>
      <x:c r="B56" s="5" t="str">
        <x:v>Agent Studio / Publish</x:v>
      </x:c>
      <x:c r="C56" s="5" t="str">
        <x:v>A tested workflow moving through a release checklist into a published version, with a rollback option.</x:v>
      </x:c>
      <x:c r="D56" s="5" t="str">
        <x:v>Create</x:v>
      </x:c>
      <x:c r="E56" s="5" t="str">
        <x:v>Standard</x:v>
      </x:c>
      <x:c r="F56" s="11" t="str">
        <x:v>Not started</x:v>
      </x:c>
      <x:c r="G56" s="5" t="n">
        <x:v>2</x:v>
      </x:c>
      <x:c r="H56" s="5" t="str">
        <x:v>Agent Studio</x:v>
      </x:c>
      <x:c r="I56" s="5" t="str">
        <x:v>1200 x 1000 WebP crop of shared master; Editable SVG/layers + 1200 x 1200 WebP</x:v>
      </x:c>
    </x:row>
    <x:row r="57" ht="38" customHeight="1">
      <x:c r="A57" s="10" t="str">
        <x:v>A052</x:v>
      </x:c>
      <x:c r="B57" s="10" t="str">
        <x:v>Files &amp; Documents / File Uploads</x:v>
      </x:c>
      <x:c r="C57" s="10" t="str">
        <x:v>An upload tray feeding a file library, with processing state and a newly added document.</x:v>
      </x:c>
      <x:c r="D57" s="10" t="str">
        <x:v>Rework</x:v>
      </x:c>
      <x:c r="E57" s="10" t="str">
        <x:v>High</x:v>
      </x:c>
      <x:c r="F57" s="11" t="str">
        <x:v>Not started</x:v>
      </x:c>
      <x:c r="G57" s="10" t="n">
        <x:v>2</x:v>
      </x:c>
      <x:c r="H57" s="10" t="str">
        <x:v>Files &amp; Documents</x:v>
      </x:c>
      <x:c r="I57" s="10" t="str">
        <x:v>Editable SVG/layers + 1200 x 1200 WebP</x:v>
      </x:c>
    </x:row>
    <x:row r="58" ht="32" customHeight="1">
      <x:c r="A58" s="5" t="str">
        <x:v>A053</x:v>
      </x:c>
      <x:c r="B58" s="5" t="str">
        <x:v>Files &amp; Documents overview</x:v>
      </x:c>
      <x:c r="C58" s="5" t="str">
        <x:v>A wide file library with upload, search and document detail panels.</x:v>
      </x:c>
      <x:c r="D58" s="5" t="str">
        <x:v>Rework</x:v>
      </x:c>
      <x:c r="E58" s="5" t="str">
        <x:v>Standard</x:v>
      </x:c>
      <x:c r="F58" s="11" t="str">
        <x:v>Not started</x:v>
      </x:c>
      <x:c r="G58" s="5" t="n">
        <x:v>1</x:v>
      </x:c>
      <x:c r="H58" s="5" t="str">
        <x:v>Files &amp; Documents</x:v>
      </x:c>
      <x:c r="I58" s="5" t="str">
        <x:v>Editable layers + 1920 x 620 WebP</x:v>
      </x:c>
    </x:row>
    <x:row r="59" ht="38" customHeight="1">
      <x:c r="A59" s="10" t="str">
        <x:v>A054</x:v>
      </x:c>
      <x:c r="B59" s="10" t="str">
        <x:v>Files &amp; Documents / Organized Records</x:v>
      </x:c>
      <x:c r="C59" s="10" t="str">
        <x:v>A compact set of labeled folders and document cards grouped by project.</x:v>
      </x:c>
      <x:c r="D59" s="10" t="str">
        <x:v>Create</x:v>
      </x:c>
      <x:c r="E59" s="10" t="str">
        <x:v>Standard</x:v>
      </x:c>
      <x:c r="F59" s="11" t="str">
        <x:v>Not started</x:v>
      </x:c>
      <x:c r="G59" s="10" t="n">
        <x:v>1</x:v>
      </x:c>
      <x:c r="H59" s="10" t="str">
        <x:v>Files &amp; Documents</x:v>
      </x:c>
      <x:c r="I59" s="10" t="str">
        <x:v>1200 x 1000 WebP crop of shared master</x:v>
      </x:c>
    </x:row>
    <x:row r="60" ht="38" customHeight="1">
      <x:c r="A60" s="5" t="str">
        <x:v>A055</x:v>
      </x:c>
      <x:c r="B60" s="5" t="str">
        <x:v>Files &amp; Documents / Focused Lookup</x:v>
      </x:c>
      <x:c r="C60" s="5" t="str">
        <x:v>A search query with one highlighted matching record and a filter chip.</x:v>
      </x:c>
      <x:c r="D60" s="5" t="str">
        <x:v>Create</x:v>
      </x:c>
      <x:c r="E60" s="5" t="str">
        <x:v>Standard</x:v>
      </x:c>
      <x:c r="F60" s="11" t="str">
        <x:v>Not started</x:v>
      </x:c>
      <x:c r="G60" s="5" t="n">
        <x:v>1</x:v>
      </x:c>
      <x:c r="H60" s="5" t="str">
        <x:v>Files &amp; Documents</x:v>
      </x:c>
      <x:c r="I60" s="5" t="str">
        <x:v>1200 x 1000 WebP crop of shared master</x:v>
      </x:c>
    </x:row>
    <x:row r="61" ht="32" customHeight="1">
      <x:c r="A61" s="10" t="str">
        <x:v>A056</x:v>
      </x:c>
      <x:c r="B61" s="10" t="str">
        <x:v>Files &amp; Documents / Useful Context</x:v>
      </x:c>
      <x:c r="C61" s="10" t="str">
        <x:v>A document card connected to the task and owner that need it.</x:v>
      </x:c>
      <x:c r="D61" s="10" t="str">
        <x:v>Create</x:v>
      </x:c>
      <x:c r="E61" s="10" t="str">
        <x:v>Standard</x:v>
      </x:c>
      <x:c r="F61" s="11" t="str">
        <x:v>Not started</x:v>
      </x:c>
      <x:c r="G61" s="10" t="n">
        <x:v>1</x:v>
      </x:c>
      <x:c r="H61" s="10" t="str">
        <x:v>Files &amp; Documents</x:v>
      </x:c>
      <x:c r="I61" s="10" t="str">
        <x:v>1200 x 1000 WebP crop of shared master</x:v>
      </x:c>
    </x:row>
    <x:row r="62" ht="38" customHeight="1">
      <x:c r="A62" s="5" t="str">
        <x:v>A057</x:v>
      </x:c>
      <x:c r="B62" s="5" t="str">
        <x:v>Files &amp; Documents / File Filters</x:v>
      </x:c>
      <x:c r="C62" s="5" t="str">
        <x:v>A file list narrowing through owner, type and project filters with the active filter chips visible.</x:v>
      </x:c>
      <x:c r="D62" s="5" t="str">
        <x:v>Rework</x:v>
      </x:c>
      <x:c r="E62" s="5" t="str">
        <x:v>Standard</x:v>
      </x:c>
      <x:c r="F62" s="11" t="str">
        <x:v>Not started</x:v>
      </x:c>
      <x:c r="G62" s="5" t="n">
        <x:v>1</x:v>
      </x:c>
      <x:c r="H62" s="5" t="str">
        <x:v>Files &amp; Documents</x:v>
      </x:c>
      <x:c r="I62" s="5" t="str">
        <x:v>Editable SVG/layers + 1200 x 1200 WebP</x:v>
      </x:c>
    </x:row>
    <x:row r="63" ht="38" customHeight="1">
      <x:c r="A63" s="10" t="str">
        <x:v>A058</x:v>
      </x:c>
      <x:c r="B63" s="10" t="str">
        <x:v>Files &amp; Documents / Library Search</x:v>
      </x:c>
      <x:c r="C63" s="10" t="str">
        <x:v>A search field above a short list of matching files with relevant text excerpts.</x:v>
      </x:c>
      <x:c r="D63" s="10" t="str">
        <x:v>Rework</x:v>
      </x:c>
      <x:c r="E63" s="10" t="str">
        <x:v>Standard</x:v>
      </x:c>
      <x:c r="F63" s="11" t="str">
        <x:v>Not started</x:v>
      </x:c>
      <x:c r="G63" s="10" t="n">
        <x:v>1</x:v>
      </x:c>
      <x:c r="H63" s="10" t="str">
        <x:v>Files &amp; Documents</x:v>
      </x:c>
      <x:c r="I63" s="10" t="str">
        <x:v>Editable SVG/layers + 1200 x 1200 WebP</x:v>
      </x:c>
    </x:row>
    <x:row r="64" ht="38" customHeight="1">
      <x:c r="A64" s="5" t="str">
        <x:v>A059</x:v>
      </x:c>
      <x:c r="B64" s="5" t="str">
        <x:v>Files &amp; Documents / File Details</x:v>
      </x:c>
      <x:c r="C64" s="5" t="str">
        <x:v>A document preview beside its owner, tags, source and linked workflow details.</x:v>
      </x:c>
      <x:c r="D64" s="5" t="str">
        <x:v>Rework</x:v>
      </x:c>
      <x:c r="E64" s="5" t="str">
        <x:v>Standard</x:v>
      </x:c>
      <x:c r="F64" s="11" t="str">
        <x:v>Not started</x:v>
      </x:c>
      <x:c r="G64" s="5" t="n">
        <x:v>1</x:v>
      </x:c>
      <x:c r="H64" s="5" t="str">
        <x:v>Files &amp; Documents</x:v>
      </x:c>
      <x:c r="I64" s="5" t="str">
        <x:v>Editable SVG/layers + 1200 x 1200 WebP</x:v>
      </x:c>
    </x:row>
    <x:row r="65" ht="38" customHeight="1">
      <x:c r="A65" s="10" t="str">
        <x:v>A060</x:v>
      </x:c>
      <x:c r="B65" s="10" t="str">
        <x:v>AI Website Builder / Website Builder</x:v>
      </x:c>
      <x:c r="C65" s="10" t="str">
        <x:v>A website editor with page sections, a property preview and a simple content settings panel.</x:v>
      </x:c>
      <x:c r="D65" s="10" t="str">
        <x:v>Rework</x:v>
      </x:c>
      <x:c r="E65" s="10" t="str">
        <x:v>High</x:v>
      </x:c>
      <x:c r="F65" s="11" t="str">
        <x:v>Not started</x:v>
      </x:c>
      <x:c r="G65" s="10" t="n">
        <x:v>2</x:v>
      </x:c>
      <x:c r="H65" s="10" t="str">
        <x:v>AI Website Builder</x:v>
      </x:c>
      <x:c r="I65" s="10" t="str">
        <x:v>Editable SVG/layers + 1200 x 1200 WebP</x:v>
      </x:c>
    </x:row>
    <x:row r="66" ht="38" customHeight="1">
      <x:c r="A66" s="5" t="str">
        <x:v>A061</x:v>
      </x:c>
      <x:c r="B66" s="5" t="str">
        <x:v>AI Website Builder / A Clear First Impression</x:v>
      </x:c>
      <x:c r="C66" s="5" t="str">
        <x:v>A polished property website preview shown in desktop and mobile frames.</x:v>
      </x:c>
      <x:c r="D66" s="5" t="str">
        <x:v>Create</x:v>
      </x:c>
      <x:c r="E66" s="5" t="str">
        <x:v>Standard</x:v>
      </x:c>
      <x:c r="F66" s="11" t="str">
        <x:v>Not started</x:v>
      </x:c>
      <x:c r="G66" s="5" t="n">
        <x:v>1</x:v>
      </x:c>
      <x:c r="H66" s="5" t="str">
        <x:v>AI Website Builder</x:v>
      </x:c>
      <x:c r="I66" s="5" t="str">
        <x:v>1200 x 1000 WebP crop of shared master</x:v>
      </x:c>
    </x:row>
    <x:row r="67" ht="38" customHeight="1">
      <x:c r="A67" s="10" t="str">
        <x:v>A062</x:v>
      </x:c>
      <x:c r="B67" s="10" t="str">
        <x:v>AI Website Builder / Connected Content</x:v>
      </x:c>
      <x:c r="C67" s="10" t="str">
        <x:v>A property record linked to the corresponding website listing card.</x:v>
      </x:c>
      <x:c r="D67" s="10" t="str">
        <x:v>Create</x:v>
      </x:c>
      <x:c r="E67" s="10" t="str">
        <x:v>Standard</x:v>
      </x:c>
      <x:c r="F67" s="11" t="str">
        <x:v>Not started</x:v>
      </x:c>
      <x:c r="G67" s="10" t="n">
        <x:v>1</x:v>
      </x:c>
      <x:c r="H67" s="10" t="str">
        <x:v>AI Website Builder</x:v>
      </x:c>
      <x:c r="I67" s="10" t="str">
        <x:v>1200 x 1000 WebP crop of shared master</x:v>
      </x:c>
    </x:row>
    <x:row r="68" ht="32" customHeight="1">
      <x:c r="A68" s="5" t="str">
        <x:v>A063</x:v>
      </x:c>
      <x:c r="B68" s="5" t="str">
        <x:v>AI Website Builder / Familiar Access</x:v>
      </x:c>
      <x:c r="C68" s="5" t="str">
        <x:v>A public website entry point connecting to a resident account panel.</x:v>
      </x:c>
      <x:c r="D68" s="5" t="str">
        <x:v>Create</x:v>
      </x:c>
      <x:c r="E68" s="5" t="str">
        <x:v>Standard</x:v>
      </x:c>
      <x:c r="F68" s="11" t="str">
        <x:v>Not started</x:v>
      </x:c>
      <x:c r="G68" s="5" t="n">
        <x:v>1</x:v>
      </x:c>
      <x:c r="H68" s="5" t="str">
        <x:v>AI Website Builder</x:v>
      </x:c>
      <x:c r="I68" s="5" t="str">
        <x:v>1200 x 1000 WebP crop of shared master</x:v>
      </x:c>
    </x:row>
    <x:row r="69" ht="38" customHeight="1">
      <x:c r="A69" s="10" t="str">
        <x:v>A064</x:v>
      </x:c>
      <x:c r="B69" s="10" t="str">
        <x:v>AI Website Builder overview</x:v>
      </x:c>
      <x:c r="C69" s="10" t="str">
        <x:v>A wide website builder composition with desktop preview, mobile preview and content controls.</x:v>
      </x:c>
      <x:c r="D69" s="10" t="str">
        <x:v>Rework</x:v>
      </x:c>
      <x:c r="E69" s="10" t="str">
        <x:v>Standard</x:v>
      </x:c>
      <x:c r="F69" s="11" t="str">
        <x:v>Not started</x:v>
      </x:c>
      <x:c r="G69" s="10" t="n">
        <x:v>1</x:v>
      </x:c>
      <x:c r="H69" s="10" t="str">
        <x:v>AI Website Builder</x:v>
      </x:c>
      <x:c r="I69" s="10" t="str">
        <x:v>Editable layers + 1920 x 620 WebP</x:v>
      </x:c>
    </x:row>
    <x:row r="70" ht="38" customHeight="1">
      <x:c r="A70" s="5" t="str">
        <x:v>A065</x:v>
      </x:c>
      <x:c r="B70" s="5" t="str">
        <x:v>AI Website Builder / Template Gallery</x:v>
      </x:c>
      <x:c r="C70" s="5" t="str">
        <x:v>A grid of website template thumbnails with one selected design and its mobile preview.</x:v>
      </x:c>
      <x:c r="D70" s="5" t="str">
        <x:v>Rework</x:v>
      </x:c>
      <x:c r="E70" s="5" t="str">
        <x:v>Standard</x:v>
      </x:c>
      <x:c r="F70" s="11" t="str">
        <x:v>Not started</x:v>
      </x:c>
      <x:c r="G70" s="5" t="n">
        <x:v>1</x:v>
      </x:c>
      <x:c r="H70" s="5" t="str">
        <x:v>AI Website Builder</x:v>
      </x:c>
      <x:c r="I70" s="5" t="str">
        <x:v>Editable SVG/layers + 1200 x 1200 WebP</x:v>
      </x:c>
    </x:row>
    <x:row r="71" ht="38" customHeight="1">
      <x:c r="A71" s="10" t="str">
        <x:v>A066</x:v>
      </x:c>
      <x:c r="B71" s="10" t="str">
        <x:v>AI Website Builder / Resident Access</x:v>
      </x:c>
      <x:c r="C71" s="10" t="str">
        <x:v>A website navigation item opening a resident portal sign-in panel and account preview.</x:v>
      </x:c>
      <x:c r="D71" s="10" t="str">
        <x:v>Rework</x:v>
      </x:c>
      <x:c r="E71" s="10" t="str">
        <x:v>Standard</x:v>
      </x:c>
      <x:c r="F71" s="11" t="str">
        <x:v>Not started</x:v>
      </x:c>
      <x:c r="G71" s="10" t="n">
        <x:v>1</x:v>
      </x:c>
      <x:c r="H71" s="10" t="str">
        <x:v>AI Website Builder</x:v>
      </x:c>
      <x:c r="I71" s="10" t="str">
        <x:v>Editable SVG/layers + 1200 x 1200 WebP</x:v>
      </x:c>
    </x:row>
    <x:row r="72" ht="38" customHeight="1">
      <x:c r="A72" s="5" t="str">
        <x:v>A067</x:v>
      </x:c>
      <x:c r="B72" s="5" t="str">
        <x:v>AI Website Builder / Property Listings</x:v>
      </x:c>
      <x:c r="C72" s="5" t="str">
        <x:v>A property listing grid with availability filters and a selected property detail card.</x:v>
      </x:c>
      <x:c r="D72" s="5" t="str">
        <x:v>Rework</x:v>
      </x:c>
      <x:c r="E72" s="5" t="str">
        <x:v>Standard</x:v>
      </x:c>
      <x:c r="F72" s="11" t="str">
        <x:v>Not started</x:v>
      </x:c>
      <x:c r="G72" s="5" t="n">
        <x:v>1</x:v>
      </x:c>
      <x:c r="H72" s="5" t="str">
        <x:v>AI Website Builder</x:v>
      </x:c>
      <x:c r="I72" s="5" t="str">
        <x:v>Editable SVG/layers + 1200 x 1200 WebP</x:v>
      </x:c>
    </x:row>
    <x:row r="73" ht="38" customHeight="1">
      <x:c r="A73" s="10" t="str">
        <x:v>A068</x:v>
      </x:c>
      <x:c r="B73" s="10" t="str">
        <x:v>Databases / Agentic Rag</x:v>
      </x:c>
      <x:c r="C73" s="10" t="str">
        <x:v>A question retrieving relevant passages from documents, with source citations attached to the answer.</x:v>
      </x:c>
      <x:c r="D73" s="10" t="str">
        <x:v>Create</x:v>
      </x:c>
      <x:c r="E73" s="10" t="str">
        <x:v>High</x:v>
      </x:c>
      <x:c r="F73" s="11" t="str">
        <x:v>Not started</x:v>
      </x:c>
      <x:c r="G73" s="10" t="n">
        <x:v>3</x:v>
      </x:c>
      <x:c r="H73" s="10" t="str">
        <x:v>Databases</x:v>
      </x:c>
      <x:c r="I73" s="10" t="str">
        <x:v>Editable SVG/layers + 1200 x 1200 WebP; 1200 x 1000 WebP crop of shared master</x:v>
      </x:c>
    </x:row>
    <x:row r="74" ht="38" customHeight="1">
      <x:c r="A74" s="5" t="str">
        <x:v>A069</x:v>
      </x:c>
      <x:c r="B74" s="5" t="str">
        <x:v>Databases / Retrieval</x:v>
      </x:c>
      <x:c r="C74" s="5" t="str">
        <x:v>A search query ranking relevant document snippets and linking them to a reviewable answer.</x:v>
      </x:c>
      <x:c r="D74" s="5" t="str">
        <x:v>Create</x:v>
      </x:c>
      <x:c r="E74" s="5" t="str">
        <x:v>Standard</x:v>
      </x:c>
      <x:c r="F74" s="11" t="str">
        <x:v>Not started</x:v>
      </x:c>
      <x:c r="G74" s="5" t="n">
        <x:v>2</x:v>
      </x:c>
      <x:c r="H74" s="5" t="str">
        <x:v>Databases</x:v>
      </x:c>
      <x:c r="I74" s="5" t="str">
        <x:v>1200 x 1000 WebP crop of shared master; Editable SVG/layers + 1200 x 1200 WebP</x:v>
      </x:c>
    </x:row>
    <x:row r="75" ht="38" customHeight="1">
      <x:c r="A75" s="10" t="str">
        <x:v>A070</x:v>
      </x:c>
      <x:c r="B75" s="10" t="str">
        <x:v>Databases / All File Types</x:v>
      </x:c>
      <x:c r="C75" s="10" t="str">
        <x:v>A file library with document, spreadsheet and PDF tiles plus format and processing states.</x:v>
      </x:c>
      <x:c r="D75" s="10" t="str">
        <x:v>Create</x:v>
      </x:c>
      <x:c r="E75" s="10" t="str">
        <x:v>Standard</x:v>
      </x:c>
      <x:c r="F75" s="11" t="str">
        <x:v>Not started</x:v>
      </x:c>
      <x:c r="G75" s="10" t="n">
        <x:v>2</x:v>
      </x:c>
      <x:c r="H75" s="10" t="str">
        <x:v>Databases</x:v>
      </x:c>
      <x:c r="I75" s="10" t="str">
        <x:v>1200 x 1000 WebP crop of shared master; Editable SVG/layers + 1200 x 1200 WebP</x:v>
      </x:c>
    </x:row>
    <x:row r="76" ht="38" customHeight="1">
      <x:c r="A76" s="5" t="str">
        <x:v>A071</x:v>
      </x:c>
      <x:c r="B76" s="5" t="str">
        <x:v>Databases / Agent Context</x:v>
      </x:c>
      <x:c r="C76" s="5" t="str">
        <x:v>An agent context drawer linking current documents and records to the active task.</x:v>
      </x:c>
      <x:c r="D76" s="5" t="str">
        <x:v>Create</x:v>
      </x:c>
      <x:c r="E76" s="5" t="str">
        <x:v>Standard</x:v>
      </x:c>
      <x:c r="F76" s="11" t="str">
        <x:v>Not started</x:v>
      </x:c>
      <x:c r="G76" s="5" t="n">
        <x:v>2</x:v>
      </x:c>
      <x:c r="H76" s="5" t="str">
        <x:v>Databases</x:v>
      </x:c>
      <x:c r="I76" s="5" t="str">
        <x:v>1200 x 1000 WebP crop of shared master; Editable SVG/layers + 1200 x 1200 WebP</x:v>
      </x:c>
    </x:row>
    <x:row r="77" ht="38" customHeight="1">
      <x:c r="A77" s="10" t="str">
        <x:v>A072</x:v>
      </x:c>
      <x:c r="B77" s="10" t="str">
        <x:v>Databases / Databases</x:v>
      </x:c>
      <x:c r="C77" s="10" t="str">
        <x:v>A structured table with linked records, a selected row and the workflow that consumes it.</x:v>
      </x:c>
      <x:c r="D77" s="10" t="str">
        <x:v>Create</x:v>
      </x:c>
      <x:c r="E77" s="10" t="str">
        <x:v>Standard</x:v>
      </x:c>
      <x:c r="F77" s="11" t="str">
        <x:v>Not started</x:v>
      </x:c>
      <x:c r="G77" s="10" t="n">
        <x:v>2</x:v>
      </x:c>
      <x:c r="H77" s="10" t="str">
        <x:v>Databases</x:v>
      </x:c>
      <x:c r="I77" s="10" t="str">
        <x:v>1200 x 1000 WebP crop of shared master; Editable SVG/layers + 1200 x 1200 WebP</x:v>
      </x:c>
    </x:row>
    <x:row r="78" ht="38" customHeight="1">
      <x:c r="A78" s="5" t="str">
        <x:v>A073</x:v>
      </x:c>
      <x:c r="B78" s="5" t="str">
        <x:v>Knowledge interactive workspace</x:v>
      </x:c>
      <x:c r="C78" s="5" t="str">
        <x:v>Retain the existing interactive workspace. Optional static poster only if a still image is needed.</x:v>
      </x:c>
      <x:c r="D78" s="5" t="str">
        <x:v>Reuse</x:v>
      </x:c>
      <x:c r="E78" s="5" t="str">
        <x:v>Existing</x:v>
      </x:c>
      <x:c r="F78" s="11" t="str">
        <x:v>Existing</x:v>
      </x:c>
      <x:c r="G78" s="5" t="n">
        <x:v>1</x:v>
      </x:c>
      <x:c r="H78" s="5" t="str">
        <x:v>Databases</x:v>
      </x:c>
      <x:c r="I78" s="5" t="str">
        <x:v>Live component; optional 1920 px wide poster</x:v>
      </x:c>
    </x:row>
    <x:row r="79" ht="38" customHeight="1">
      <x:c r="A79" s="10" t="str">
        <x:v>A074</x:v>
      </x:c>
      <x:c r="B79" s="10" t="str">
        <x:v>Agentic Automation / Reasoning</x:v>
      </x:c>
      <x:c r="C79" s="10" t="str">
        <x:v>A process graph splitting a routine request from an exception that needs reasoning and review.</x:v>
      </x:c>
      <x:c r="D79" s="10" t="str">
        <x:v>Rework</x:v>
      </x:c>
      <x:c r="E79" s="10" t="str">
        <x:v>High</x:v>
      </x:c>
      <x:c r="F79" s="11" t="str">
        <x:v>Not started</x:v>
      </x:c>
      <x:c r="G79" s="10" t="n">
        <x:v>3</x:v>
      </x:c>
      <x:c r="H79" s="10" t="str">
        <x:v>Agentic Automation</x:v>
      </x:c>
      <x:c r="I79" s="10" t="str">
        <x:v>Editable SVG/layers + 1200 x 1200 WebP; 1200 x 1000 WebP crop of shared master</x:v>
      </x:c>
    </x:row>
    <x:row r="80" ht="38" customHeight="1">
      <x:c r="A80" s="5" t="str">
        <x:v>A075</x:v>
      </x:c>
      <x:c r="B80" s="5" t="str">
        <x:v>Agentic Automation / Variety</x:v>
      </x:c>
      <x:c r="C80" s="5" t="str">
        <x:v>Email, document and note cards converging into one normalized request record.</x:v>
      </x:c>
      <x:c r="D80" s="5" t="str">
        <x:v>Rework</x:v>
      </x:c>
      <x:c r="E80" s="5" t="str">
        <x:v>Standard</x:v>
      </x:c>
      <x:c r="F80" s="11" t="str">
        <x:v>Not started</x:v>
      </x:c>
      <x:c r="G80" s="5" t="n">
        <x:v>2</x:v>
      </x:c>
      <x:c r="H80" s="5" t="str">
        <x:v>Agentic Automation</x:v>
      </x:c>
      <x:c r="I80" s="5" t="str">
        <x:v>1200 x 1000 WebP crop of shared master; Editable SVG/layers + 1200 x 1200 WebP</x:v>
      </x:c>
    </x:row>
    <x:row r="81" ht="38" customHeight="1">
      <x:c r="A81" s="10" t="str">
        <x:v>A076</x:v>
      </x:c>
      <x:c r="B81" s="10" t="str">
        <x:v>Agentic Automation / Integrations</x:v>
      </x:c>
      <x:c r="C81" s="10" t="str">
        <x:v>A workflow connecting its inbox, shared record and action tools with scoped handoffs.</x:v>
      </x:c>
      <x:c r="D81" s="10" t="str">
        <x:v>Rework</x:v>
      </x:c>
      <x:c r="E81" s="10" t="str">
        <x:v>Standard</x:v>
      </x:c>
      <x:c r="F81" s="11" t="str">
        <x:v>Not started</x:v>
      </x:c>
      <x:c r="G81" s="10" t="n">
        <x:v>2</x:v>
      </x:c>
      <x:c r="H81" s="10" t="str">
        <x:v>Agentic Automation</x:v>
      </x:c>
      <x:c r="I81" s="10" t="str">
        <x:v>1200 x 1000 WebP crop of shared master; Editable SVG/layers + 1200 x 1200 WebP</x:v>
      </x:c>
    </x:row>
    <x:row r="82" ht="38" customHeight="1">
      <x:c r="A82" s="5" t="str">
        <x:v>A077</x:v>
      </x:c>
      <x:c r="B82" s="5" t="str">
        <x:v>Agentic Automation / Learning</x:v>
      </x:c>
      <x:c r="C82" s="5" t="str">
        <x:v>A reviewed correction feeding a proposed workflow revision and a retest.</x:v>
      </x:c>
      <x:c r="D82" s="5" t="str">
        <x:v>Rework</x:v>
      </x:c>
      <x:c r="E82" s="5" t="str">
        <x:v>Standard</x:v>
      </x:c>
      <x:c r="F82" s="11" t="str">
        <x:v>Not started</x:v>
      </x:c>
      <x:c r="G82" s="5" t="n">
        <x:v>2</x:v>
      </x:c>
      <x:c r="H82" s="5" t="str">
        <x:v>Agentic Automation</x:v>
      </x:c>
      <x:c r="I82" s="5" t="str">
        <x:v>1200 x 1000 WebP crop of shared master; Editable SVG/layers + 1200 x 1200 WebP</x:v>
      </x:c>
    </x:row>
    <x:row r="83" ht="38" customHeight="1">
      <x:c r="A83" s="10" t="str">
        <x:v>A078</x:v>
      </x:c>
      <x:c r="B83" s="10" t="str">
        <x:v>Agentic Automation / Evaluations</x:v>
      </x:c>
      <x:c r="C83" s="10" t="str">
        <x:v>An outcome rubric beside a workflow result, with expected fields and a review state.</x:v>
      </x:c>
      <x:c r="D83" s="10" t="str">
        <x:v>Rework</x:v>
      </x:c>
      <x:c r="E83" s="10" t="str">
        <x:v>Standard</x:v>
      </x:c>
      <x:c r="F83" s="11" t="str">
        <x:v>Not started</x:v>
      </x:c>
      <x:c r="G83" s="10" t="n">
        <x:v>2</x:v>
      </x:c>
      <x:c r="H83" s="10" t="str">
        <x:v>Agentic Automation</x:v>
      </x:c>
      <x:c r="I83" s="10" t="str">
        <x:v>1200 x 1000 WebP crop of shared master; Editable SVG/layers + 1200 x 1200 WebP</x:v>
      </x:c>
    </x:row>
    <x:row r="84" ht="38" customHeight="1">
      <x:c r="A84" s="5" t="str">
        <x:v>A079</x:v>
      </x:c>
      <x:c r="B84" s="5" t="str">
        <x:v>Agentic Automation / Oversight</x:v>
      </x:c>
      <x:c r="C84" s="5" t="str">
        <x:v>An approval gate inserted before a consequential workflow action.</x:v>
      </x:c>
      <x:c r="D84" s="5" t="str">
        <x:v>Rework</x:v>
      </x:c>
      <x:c r="E84" s="5" t="str">
        <x:v>Standard</x:v>
      </x:c>
      <x:c r="F84" s="11" t="str">
        <x:v>Not started</x:v>
      </x:c>
      <x:c r="G84" s="5" t="n">
        <x:v>2</x:v>
      </x:c>
      <x:c r="H84" s="5" t="str">
        <x:v>Agentic Automation</x:v>
      </x:c>
      <x:c r="I84" s="5" t="str">
        <x:v>1200 x 1000 WebP crop of shared master; Editable SVG/layers + 1200 x 1200 WebP</x:v>
      </x:c>
    </x:row>
    <x:row r="85" ht="38" customHeight="1">
      <x:c r="A85" s="10" t="str">
        <x:v>A080</x:v>
      </x:c>
      <x:c r="B85" s="10" t="str">
        <x:v>Agentic Automation / Orchestration</x:v>
      </x:c>
      <x:c r="C85" s="10" t="str">
        <x:v>An agent handoff map showing each owner and the context transferred at every step.</x:v>
      </x:c>
      <x:c r="D85" s="10" t="str">
        <x:v>Rework</x:v>
      </x:c>
      <x:c r="E85" s="10" t="str">
        <x:v>Standard</x:v>
      </x:c>
      <x:c r="F85" s="11" t="str">
        <x:v>Not started</x:v>
      </x:c>
      <x:c r="G85" s="10" t="n">
        <x:v>2</x:v>
      </x:c>
      <x:c r="H85" s="10" t="str">
        <x:v>Agentic Automation</x:v>
      </x:c>
      <x:c r="I85" s="10" t="str">
        <x:v>1200 x 1000 WebP crop of shared master; Editable SVG/layers + 1200 x 1200 WebP</x:v>
      </x:c>
    </x:row>
    <x:row r="86" ht="38" customHeight="1">
      <x:c r="A86" s="5" t="str">
        <x:v>A081</x:v>
      </x:c>
      <x:c r="B86" s="5" t="str">
        <x:v>Agentic Automation / Operations</x:v>
      </x:c>
      <x:c r="C86" s="5" t="str">
        <x:v>A workflow operations panel with run status, exception queue and assigned reviewer.</x:v>
      </x:c>
      <x:c r="D86" s="5" t="str">
        <x:v>Rework</x:v>
      </x:c>
      <x:c r="E86" s="5" t="str">
        <x:v>Standard</x:v>
      </x:c>
      <x:c r="F86" s="11" t="str">
        <x:v>Not started</x:v>
      </x:c>
      <x:c r="G86" s="5" t="n">
        <x:v>2</x:v>
      </x:c>
      <x:c r="H86" s="5" t="str">
        <x:v>Agentic Automation</x:v>
      </x:c>
      <x:c r="I86" s="5" t="str">
        <x:v>1200 x 1000 WebP crop of shared master; Editable SVG/layers + 1200 x 1200 WebP</x:v>
      </x:c>
    </x:row>
    <x:row r="87" ht="38" customHeight="1">
      <x:c r="A87" s="10" t="str">
        <x:v>A082</x:v>
      </x:c>
      <x:c r="B87" s="10" t="str">
        <x:v>Self Learning / Hub</x:v>
      </x:c>
      <x:c r="C87" s="10" t="str">
        <x:v>An improvement dashboard grouping flagged runs and review opportunities by workflow.</x:v>
      </x:c>
      <x:c r="D87" s="10" t="str">
        <x:v>Rework</x:v>
      </x:c>
      <x:c r="E87" s="10" t="str">
        <x:v>High</x:v>
      </x:c>
      <x:c r="F87" s="11" t="str">
        <x:v>Not started</x:v>
      </x:c>
      <x:c r="G87" s="10" t="n">
        <x:v>3</x:v>
      </x:c>
      <x:c r="H87" s="10" t="str">
        <x:v>Self Learning</x:v>
      </x:c>
      <x:c r="I87" s="10" t="str">
        <x:v>Editable SVG/layers + 1200 x 1200 WebP; 1200 x 1000 WebP crop of shared master</x:v>
      </x:c>
    </x:row>
    <x:row r="88" ht="38" customHeight="1">
      <x:c r="A88" s="5" t="str">
        <x:v>A083</x:v>
      </x:c>
      <x:c r="B88" s="5" t="str">
        <x:v>Self Learning / Process</x:v>
      </x:c>
      <x:c r="C88" s="5" t="str">
        <x:v>A correction progressing through proposed change, validation and accepted revision.</x:v>
      </x:c>
      <x:c r="D88" s="5" t="str">
        <x:v>Rework</x:v>
      </x:c>
      <x:c r="E88" s="5" t="str">
        <x:v>Standard</x:v>
      </x:c>
      <x:c r="F88" s="11" t="str">
        <x:v>Not started</x:v>
      </x:c>
      <x:c r="G88" s="5" t="n">
        <x:v>2</x:v>
      </x:c>
      <x:c r="H88" s="5" t="str">
        <x:v>Self Learning</x:v>
      </x:c>
      <x:c r="I88" s="5" t="str">
        <x:v>1200 x 1000 WebP crop of shared master; Editable SVG/layers + 1200 x 1200 WebP</x:v>
      </x:c>
    </x:row>
    <x:row r="89" ht="38" customHeight="1">
      <x:c r="A89" s="10" t="str">
        <x:v>A084</x:v>
      </x:c>
      <x:c r="B89" s="10" t="str">
        <x:v>Self Learning / Domain</x:v>
      </x:c>
      <x:c r="C89" s="10" t="str">
        <x:v>A team knowledge library linked to the rules and examples an agent uses.</x:v>
      </x:c>
      <x:c r="D89" s="10" t="str">
        <x:v>Rework</x:v>
      </x:c>
      <x:c r="E89" s="10" t="str">
        <x:v>Standard</x:v>
      </x:c>
      <x:c r="F89" s="11" t="str">
        <x:v>Not started</x:v>
      </x:c>
      <x:c r="G89" s="10" t="n">
        <x:v>2</x:v>
      </x:c>
      <x:c r="H89" s="10" t="str">
        <x:v>Self Learning</x:v>
      </x:c>
      <x:c r="I89" s="10" t="str">
        <x:v>1200 x 1000 WebP crop of shared master; Editable SVG/layers + 1200 x 1200 WebP</x:v>
      </x:c>
    </x:row>
    <x:row r="90" ht="38" customHeight="1">
      <x:c r="A90" s="5" t="str">
        <x:v>A085</x:v>
      </x:c>
      <x:c r="B90" s="5" t="str">
        <x:v>Self Learning / Correction</x:v>
      </x:c>
      <x:c r="C90" s="5" t="str">
        <x:v>An incorrect field highlighted beside its corrected value and revised instruction.</x:v>
      </x:c>
      <x:c r="D90" s="5" t="str">
        <x:v>Rework</x:v>
      </x:c>
      <x:c r="E90" s="5" t="str">
        <x:v>Standard</x:v>
      </x:c>
      <x:c r="F90" s="11" t="str">
        <x:v>Not started</x:v>
      </x:c>
      <x:c r="G90" s="5" t="n">
        <x:v>2</x:v>
      </x:c>
      <x:c r="H90" s="5" t="str">
        <x:v>Self Learning</x:v>
      </x:c>
      <x:c r="I90" s="5" t="str">
        <x:v>1200 x 1000 WebP crop of shared master; Editable SVG/layers + 1200 x 1200 WebP</x:v>
      </x:c>
    </x:row>
    <x:row r="91" ht="38" customHeight="1">
      <x:c r="A91" s="10" t="str">
        <x:v>A086</x:v>
      </x:c>
      <x:c r="B91" s="10" t="str">
        <x:v>Self Learning / Feedback</x:v>
      </x:c>
      <x:c r="C91" s="10" t="str">
        <x:v>A reviewer annotating an output with a concise correction and supporting example.</x:v>
      </x:c>
      <x:c r="D91" s="10" t="str">
        <x:v>Rework</x:v>
      </x:c>
      <x:c r="E91" s="10" t="str">
        <x:v>Standard</x:v>
      </x:c>
      <x:c r="F91" s="11" t="str">
        <x:v>Not started</x:v>
      </x:c>
      <x:c r="G91" s="10" t="n">
        <x:v>2</x:v>
      </x:c>
      <x:c r="H91" s="10" t="str">
        <x:v>Self Learning</x:v>
      </x:c>
      <x:c r="I91" s="10" t="str">
        <x:v>1200 x 1000 WebP crop of shared master; Editable SVG/layers + 1200 x 1200 WebP</x:v>
      </x:c>
    </x:row>
    <x:row r="92" ht="38" customHeight="1">
      <x:c r="A92" s="5" t="str">
        <x:v>A087</x:v>
      </x:c>
      <x:c r="B92" s="5" t="str">
        <x:v>Self Learning / Validation</x:v>
      </x:c>
      <x:c r="C92" s="5" t="str">
        <x:v>A before-and-after test comparison with expected outputs and a review gate.</x:v>
      </x:c>
      <x:c r="D92" s="5" t="str">
        <x:v>Rework</x:v>
      </x:c>
      <x:c r="E92" s="5" t="str">
        <x:v>Standard</x:v>
      </x:c>
      <x:c r="F92" s="11" t="str">
        <x:v>Not started</x:v>
      </x:c>
      <x:c r="G92" s="5" t="n">
        <x:v>2</x:v>
      </x:c>
      <x:c r="H92" s="5" t="str">
        <x:v>Self Learning</x:v>
      </x:c>
      <x:c r="I92" s="5" t="str">
        <x:v>1200 x 1000 WebP crop of shared master; Editable SVG/layers + 1200 x 1200 WebP</x:v>
      </x:c>
    </x:row>
    <x:row r="93" ht="38" customHeight="1">
      <x:c r="A93" s="10" t="str">
        <x:v>A088</x:v>
      </x:c>
      <x:c r="B93" s="10" t="str">
        <x:v>Self Learning / Tracking</x:v>
      </x:c>
      <x:c r="C93" s="10" t="str">
        <x:v>A trend panel comparing reviewed outcomes across successive workflow versions.</x:v>
      </x:c>
      <x:c r="D93" s="10" t="str">
        <x:v>Rework</x:v>
      </x:c>
      <x:c r="E93" s="10" t="str">
        <x:v>Standard</x:v>
      </x:c>
      <x:c r="F93" s="11" t="str">
        <x:v>Not started</x:v>
      </x:c>
      <x:c r="G93" s="10" t="n">
        <x:v>2</x:v>
      </x:c>
      <x:c r="H93" s="10" t="str">
        <x:v>Self Learning</x:v>
      </x:c>
      <x:c r="I93" s="10" t="str">
        <x:v>1200 x 1000 WebP crop of shared master; Editable SVG/layers + 1200 x 1200 WebP</x:v>
      </x:c>
    </x:row>
    <x:row r="94" ht="38" customHeight="1">
      <x:c r="A94" s="5" t="str">
        <x:v>A089</x:v>
      </x:c>
      <x:c r="B94" s="5" t="str">
        <x:v>Self Learning / Team</x:v>
      </x:c>
      <x:c r="C94" s="5" t="str">
        <x:v>A team review queue with owners, discussion and the next improvement action.</x:v>
      </x:c>
      <x:c r="D94" s="5" t="str">
        <x:v>Rework</x:v>
      </x:c>
      <x:c r="E94" s="5" t="str">
        <x:v>Standard</x:v>
      </x:c>
      <x:c r="F94" s="11" t="str">
        <x:v>Not started</x:v>
      </x:c>
      <x:c r="G94" s="5" t="n">
        <x:v>2</x:v>
      </x:c>
      <x:c r="H94" s="5" t="str">
        <x:v>Self Learning</x:v>
      </x:c>
      <x:c r="I94" s="5" t="str">
        <x:v>1200 x 1000 WebP crop of shared master; Editable SVG/layers + 1200 x 1200 WebP</x:v>
      </x:c>
    </x:row>
    <x:row r="95" ht="38" customHeight="1">
      <x:c r="A95" s="10" t="str">
        <x:v>A090</x:v>
      </x:c>
      <x:c r="B95" s="10" t="str">
        <x:v>Evaluations / Accuracy</x:v>
      </x:c>
      <x:c r="C95" s="10" t="str">
        <x:v>An evaluation view drilling from task result to step result to one extracted field.</x:v>
      </x:c>
      <x:c r="D95" s="10" t="str">
        <x:v>Rework</x:v>
      </x:c>
      <x:c r="E95" s="10" t="str">
        <x:v>High</x:v>
      </x:c>
      <x:c r="F95" s="11" t="str">
        <x:v>Not started</x:v>
      </x:c>
      <x:c r="G95" s="10" t="n">
        <x:v>3</x:v>
      </x:c>
      <x:c r="H95" s="10" t="str">
        <x:v>Evaluations</x:v>
      </x:c>
      <x:c r="I95" s="10" t="str">
        <x:v>Editable SVG/layers + 1200 x 1200 WebP; 1200 x 1000 WebP crop of shared master</x:v>
      </x:c>
    </x:row>
    <x:row r="96" ht="38" customHeight="1">
      <x:c r="A96" s="5" t="str">
        <x:v>A091</x:v>
      </x:c>
      <x:c r="B96" s="5" t="str">
        <x:v>Evaluations / Benchmarks</x:v>
      </x:c>
      <x:c r="C96" s="5" t="str">
        <x:v>A human-reviewed reference answer compared side by side with an agent output.</x:v>
      </x:c>
      <x:c r="D96" s="5" t="str">
        <x:v>Rework</x:v>
      </x:c>
      <x:c r="E96" s="5" t="str">
        <x:v>Standard</x:v>
      </x:c>
      <x:c r="F96" s="11" t="str">
        <x:v>Not started</x:v>
      </x:c>
      <x:c r="G96" s="5" t="n">
        <x:v>2</x:v>
      </x:c>
      <x:c r="H96" s="5" t="str">
        <x:v>Evaluations</x:v>
      </x:c>
      <x:c r="I96" s="5" t="str">
        <x:v>1200 x 1000 WebP crop of shared master; Editable SVG/layers + 1200 x 1200 WebP</x:v>
      </x:c>
    </x:row>
    <x:row r="97" ht="38" customHeight="1">
      <x:c r="A97" s="10" t="str">
        <x:v>A092</x:v>
      </x:c>
      <x:c r="B97" s="10" t="str">
        <x:v>Evaluations / Retry</x:v>
      </x:c>
      <x:c r="C97" s="10" t="str">
        <x:v>A failed step branching to a bounded retry or an escalation to a person.</x:v>
      </x:c>
      <x:c r="D97" s="10" t="str">
        <x:v>Rework</x:v>
      </x:c>
      <x:c r="E97" s="10" t="str">
        <x:v>Standard</x:v>
      </x:c>
      <x:c r="F97" s="11" t="str">
        <x:v>Not started</x:v>
      </x:c>
      <x:c r="G97" s="10" t="n">
        <x:v>2</x:v>
      </x:c>
      <x:c r="H97" s="10" t="str">
        <x:v>Evaluations</x:v>
      </x:c>
      <x:c r="I97" s="10" t="str">
        <x:v>1200 x 1000 WebP crop of shared master; Editable SVG/layers + 1200 x 1200 WebP</x:v>
      </x:c>
    </x:row>
    <x:row r="98" ht="38" customHeight="1">
      <x:c r="A98" s="5" t="str">
        <x:v>A093</x:v>
      </x:c>
      <x:c r="B98" s="5" t="str">
        <x:v>Evaluations / Criteria</x:v>
      </x:c>
      <x:c r="C98" s="5" t="str">
        <x:v>A rubric editor listing required fields and business rules beside a sample result.</x:v>
      </x:c>
      <x:c r="D98" s="5" t="str">
        <x:v>Rework</x:v>
      </x:c>
      <x:c r="E98" s="5" t="str">
        <x:v>Standard</x:v>
      </x:c>
      <x:c r="F98" s="11" t="str">
        <x:v>Not started</x:v>
      </x:c>
      <x:c r="G98" s="5" t="n">
        <x:v>2</x:v>
      </x:c>
      <x:c r="H98" s="5" t="str">
        <x:v>Evaluations</x:v>
      </x:c>
      <x:c r="I98" s="5" t="str">
        <x:v>1200 x 1000 WebP crop of shared master; Editable SVG/layers + 1200 x 1200 WebP</x:v>
      </x:c>
    </x:row>
    <x:row r="99" ht="38" customHeight="1">
      <x:c r="A99" s="10" t="str">
        <x:v>A094</x:v>
      </x:c>
      <x:c r="B99" s="10" t="str">
        <x:v>Evaluations / Datasets</x:v>
      </x:c>
      <x:c r="C99" s="10" t="str">
        <x:v>A test case library containing typical inputs and edge cases with expected outcomes.</x:v>
      </x:c>
      <x:c r="D99" s="10" t="str">
        <x:v>Rework</x:v>
      </x:c>
      <x:c r="E99" s="10" t="str">
        <x:v>Standard</x:v>
      </x:c>
      <x:c r="F99" s="11" t="str">
        <x:v>Not started</x:v>
      </x:c>
      <x:c r="G99" s="10" t="n">
        <x:v>2</x:v>
      </x:c>
      <x:c r="H99" s="10" t="str">
        <x:v>Evaluations</x:v>
      </x:c>
      <x:c r="I99" s="10" t="str">
        <x:v>1200 x 1000 WebP crop of shared master; Editable SVG/layers + 1200 x 1200 WebP</x:v>
      </x:c>
    </x:row>
    <x:row r="100" ht="38" customHeight="1">
      <x:c r="A100" s="5" t="str">
        <x:v>A095</x:v>
      </x:c>
      <x:c r="B100" s="5" t="str">
        <x:v>Evaluations / Feedback</x:v>
      </x:c>
      <x:c r="C100" s="5" t="str">
        <x:v>A flagged evaluation linked to reviewer feedback and a proposed workflow change.</x:v>
      </x:c>
      <x:c r="D100" s="5" t="str">
        <x:v>Rework</x:v>
      </x:c>
      <x:c r="E100" s="5" t="str">
        <x:v>Standard</x:v>
      </x:c>
      <x:c r="F100" s="11" t="str">
        <x:v>Not started</x:v>
      </x:c>
      <x:c r="G100" s="5" t="n">
        <x:v>2</x:v>
      </x:c>
      <x:c r="H100" s="5" t="str">
        <x:v>Evaluations</x:v>
      </x:c>
      <x:c r="I100" s="5" t="str">
        <x:v>1200 x 1000 WebP crop of shared master; Editable SVG/layers + 1200 x 1200 WebP</x:v>
      </x:c>
    </x:row>
    <x:row r="101" ht="38" customHeight="1">
      <x:c r="A101" s="10" t="str">
        <x:v>A096</x:v>
      </x:c>
      <x:c r="B101" s="10" t="str">
        <x:v>Evaluations / Dashboards</x:v>
      </x:c>
      <x:c r="C101" s="10" t="str">
        <x:v>An evaluation dashboard combining reviewed accuracy, unresolved issues and outcome quality.</x:v>
      </x:c>
      <x:c r="D101" s="10" t="str">
        <x:v>Rework</x:v>
      </x:c>
      <x:c r="E101" s="10" t="str">
        <x:v>Standard</x:v>
      </x:c>
      <x:c r="F101" s="11" t="str">
        <x:v>Not started</x:v>
      </x:c>
      <x:c r="G101" s="10" t="n">
        <x:v>2</x:v>
      </x:c>
      <x:c r="H101" s="10" t="str">
        <x:v>Evaluations</x:v>
      </x:c>
      <x:c r="I101" s="10" t="str">
        <x:v>1200 x 1000 WebP crop of shared master; Editable SVG/layers + 1200 x 1200 WebP</x:v>
      </x:c>
    </x:row>
    <x:row r="102" ht="38" customHeight="1">
      <x:c r="A102" s="5" t="str">
        <x:v>A097</x:v>
      </x:c>
      <x:c r="B102" s="5" t="str">
        <x:v>Evaluations / Reporting</x:v>
      </x:c>
      <x:c r="C102" s="5" t="str">
        <x:v>A review report combining a small trend, example outcomes and their source evidence.</x:v>
      </x:c>
      <x:c r="D102" s="5" t="str">
        <x:v>Rework</x:v>
      </x:c>
      <x:c r="E102" s="5" t="str">
        <x:v>Standard</x:v>
      </x:c>
      <x:c r="F102" s="11" t="str">
        <x:v>Not started</x:v>
      </x:c>
      <x:c r="G102" s="5" t="n">
        <x:v>2</x:v>
      </x:c>
      <x:c r="H102" s="5" t="str">
        <x:v>Evaluations</x:v>
      </x:c>
      <x:c r="I102" s="5" t="str">
        <x:v>1200 x 1000 WebP crop of shared master; Editable SVG/layers + 1200 x 1200 WebP</x:v>
      </x:c>
    </x:row>
    <x:row r="103" ht="38" customHeight="1">
      <x:c r="A103" s="10" t="str">
        <x:v>A098</x:v>
      </x:c>
      <x:c r="B103" s="10" t="str">
        <x:v>Analytics and Observability / Performance</x:v>
      </x:c>
      <x:c r="C103" s="10" t="str">
        <x:v>A workflow dashboard showing run volume, duration and a queue of exceptions.</x:v>
      </x:c>
      <x:c r="D103" s="10" t="str">
        <x:v>Rework</x:v>
      </x:c>
      <x:c r="E103" s="10" t="str">
        <x:v>High</x:v>
      </x:c>
      <x:c r="F103" s="11" t="str">
        <x:v>Not started</x:v>
      </x:c>
      <x:c r="G103" s="10" t="n">
        <x:v>3</x:v>
      </x:c>
      <x:c r="H103" s="10" t="str">
        <x:v>Analytics and Observability</x:v>
      </x:c>
      <x:c r="I103" s="10" t="str">
        <x:v>Editable SVG/layers + 1200 x 1200 WebP; 1200 x 1000 WebP crop of shared master</x:v>
      </x:c>
    </x:row>
    <x:row r="104" ht="38" customHeight="1">
      <x:c r="A104" s="5" t="str">
        <x:v>A099</x:v>
      </x:c>
      <x:c r="B104" s="5" t="str">
        <x:v>Analytics and Observability / Accuracy</x:v>
      </x:c>
      <x:c r="C104" s="5" t="str">
        <x:v>A result investigation drilling down to a flagged field and its original source.</x:v>
      </x:c>
      <x:c r="D104" s="5" t="str">
        <x:v>Rework</x:v>
      </x:c>
      <x:c r="E104" s="5" t="str">
        <x:v>Standard</x:v>
      </x:c>
      <x:c r="F104" s="11" t="str">
        <x:v>Not started</x:v>
      </x:c>
      <x:c r="G104" s="5" t="n">
        <x:v>2</x:v>
      </x:c>
      <x:c r="H104" s="5" t="str">
        <x:v>Analytics and Observability</x:v>
      </x:c>
      <x:c r="I104" s="5" t="str">
        <x:v>1200 x 1000 WebP crop of shared master; Editable SVG/layers + 1200 x 1200 WebP</x:v>
      </x:c>
    </x:row>
    <x:row r="105" ht="38" customHeight="1">
      <x:c r="A105" s="10" t="str">
        <x:v>A100</x:v>
      </x:c>
      <x:c r="B105" s="10" t="str">
        <x:v>Analytics and Observability / Traces</x:v>
      </x:c>
      <x:c r="C105" s="10" t="str">
        <x:v>An execution trace with ordered agent and tool spans and one expanded handoff.</x:v>
      </x:c>
      <x:c r="D105" s="10" t="str">
        <x:v>Rework</x:v>
      </x:c>
      <x:c r="E105" s="10" t="str">
        <x:v>Standard</x:v>
      </x:c>
      <x:c r="F105" s="11" t="str">
        <x:v>Not started</x:v>
      </x:c>
      <x:c r="G105" s="10" t="n">
        <x:v>2</x:v>
      </x:c>
      <x:c r="H105" s="10" t="str">
        <x:v>Analytics and Observability</x:v>
      </x:c>
      <x:c r="I105" s="10" t="str">
        <x:v>1200 x 1000 WebP crop of shared master; Editable SVG/layers + 1200 x 1200 WebP</x:v>
      </x:c>
    </x:row>
    <x:row r="106" ht="38" customHeight="1">
      <x:c r="A106" s="5" t="str">
        <x:v>A101</x:v>
      </x:c>
      <x:c r="B106" s="5" t="str">
        <x:v>Analytics and Observability / Logs</x:v>
      </x:c>
      <x:c r="C106" s="5" t="str">
        <x:v>A searchable log view correlated to a selected workflow run and event timeline.</x:v>
      </x:c>
      <x:c r="D106" s="5" t="str">
        <x:v>Rework</x:v>
      </x:c>
      <x:c r="E106" s="5" t="str">
        <x:v>Standard</x:v>
      </x:c>
      <x:c r="F106" s="11" t="str">
        <x:v>Not started</x:v>
      </x:c>
      <x:c r="G106" s="5" t="n">
        <x:v>2</x:v>
      </x:c>
      <x:c r="H106" s="5" t="str">
        <x:v>Analytics and Observability</x:v>
      </x:c>
      <x:c r="I106" s="5" t="str">
        <x:v>1200 x 1000 WebP crop of shared master; Editable SVG/layers + 1200 x 1200 WebP</x:v>
      </x:c>
    </x:row>
    <x:row r="107" ht="38" customHeight="1">
      <x:c r="A107" s="10" t="str">
        <x:v>A102</x:v>
      </x:c>
      <x:c r="B107" s="10" t="str">
        <x:v>Analytics and Observability / Costs</x:v>
      </x:c>
      <x:c r="C107" s="10" t="str">
        <x:v>A resource breakdown by model and workflow with usage and cost categories.</x:v>
      </x:c>
      <x:c r="D107" s="10" t="str">
        <x:v>Rework</x:v>
      </x:c>
      <x:c r="E107" s="10" t="str">
        <x:v>Standard</x:v>
      </x:c>
      <x:c r="F107" s="11" t="str">
        <x:v>Not started</x:v>
      </x:c>
      <x:c r="G107" s="10" t="n">
        <x:v>2</x:v>
      </x:c>
      <x:c r="H107" s="10" t="str">
        <x:v>Analytics and Observability</x:v>
      </x:c>
      <x:c r="I107" s="10" t="str">
        <x:v>1200 x 1000 WebP crop of shared master; Editable SVG/layers + 1200 x 1200 WebP</x:v>
      </x:c>
    </x:row>
    <x:row r="108" ht="38" customHeight="1">
      <x:c r="A108" s="5" t="str">
        <x:v>A103</x:v>
      </x:c>
      <x:c r="B108" s="5" t="str">
        <x:v>Analytics and Observability / Learning</x:v>
      </x:c>
      <x:c r="C108" s="5" t="str">
        <x:v>A version comparison showing reviewed outcomes before and after a correction.</x:v>
      </x:c>
      <x:c r="D108" s="5" t="str">
        <x:v>Rework</x:v>
      </x:c>
      <x:c r="E108" s="5" t="str">
        <x:v>Standard</x:v>
      </x:c>
      <x:c r="F108" s="11" t="str">
        <x:v>Not started</x:v>
      </x:c>
      <x:c r="G108" s="5" t="n">
        <x:v>2</x:v>
      </x:c>
      <x:c r="H108" s="5" t="str">
        <x:v>Analytics and Observability</x:v>
      </x:c>
      <x:c r="I108" s="5" t="str">
        <x:v>1200 x 1000 WebP crop of shared master; Editable SVG/layers + 1200 x 1200 WebP</x:v>
      </x:c>
    </x:row>
    <x:row r="109" ht="38" customHeight="1">
      <x:c r="A109" s="10" t="str">
        <x:v>A104</x:v>
      </x:c>
      <x:c r="B109" s="10" t="str">
        <x:v>Analytics and Observability / Fleet</x:v>
      </x:c>
      <x:c r="C109" s="10" t="str">
        <x:v>An agent fleet grid showing role, current status and tasks needing attention.</x:v>
      </x:c>
      <x:c r="D109" s="10" t="str">
        <x:v>Rework</x:v>
      </x:c>
      <x:c r="E109" s="10" t="str">
        <x:v>Standard</x:v>
      </x:c>
      <x:c r="F109" s="11" t="str">
        <x:v>Not started</x:v>
      </x:c>
      <x:c r="G109" s="10" t="n">
        <x:v>2</x:v>
      </x:c>
      <x:c r="H109" s="10" t="str">
        <x:v>Analytics and Observability</x:v>
      </x:c>
      <x:c r="I109" s="10" t="str">
        <x:v>1200 x 1000 WebP crop of shared master; Editable SVG/layers + 1200 x 1200 WebP</x:v>
      </x:c>
    </x:row>
    <x:row r="110" ht="38" customHeight="1">
      <x:c r="A110" s="5" t="str">
        <x:v>A105</x:v>
      </x:c>
      <x:c r="B110" s="5" t="str">
        <x:v>Analytics and Observability / Metrics</x:v>
      </x:c>
      <x:c r="C110" s="5" t="str">
        <x:v>A reporting panel mapping selected operational metrics into a shareable dashboard.</x:v>
      </x:c>
      <x:c r="D110" s="5" t="str">
        <x:v>Rework</x:v>
      </x:c>
      <x:c r="E110" s="5" t="str">
        <x:v>Standard</x:v>
      </x:c>
      <x:c r="F110" s="11" t="str">
        <x:v>Not started</x:v>
      </x:c>
      <x:c r="G110" s="5" t="n">
        <x:v>2</x:v>
      </x:c>
      <x:c r="H110" s="5" t="str">
        <x:v>Analytics and Observability</x:v>
      </x:c>
      <x:c r="I110" s="5" t="str">
        <x:v>1200 x 1000 WebP crop of shared master; Editable SVG/layers + 1200 x 1200 WebP</x:v>
      </x:c>
    </x:row>
    <x:row r="111" ht="38" customHeight="1">
      <x:c r="A111" s="10" t="str">
        <x:v>A106</x:v>
      </x:c>
      <x:c r="B111" s="10" t="str">
        <x:v>Deployment Options / Cloud</x:v>
      </x:c>
      <x:c r="C111" s="10" t="str">
        <x:v>A hosted environment overview showing the application, managed services and team access boundary.</x:v>
      </x:c>
      <x:c r="D111" s="10" t="str">
        <x:v>Rework</x:v>
      </x:c>
      <x:c r="E111" s="10" t="str">
        <x:v>High</x:v>
      </x:c>
      <x:c r="F111" s="11" t="str">
        <x:v>Not started</x:v>
      </x:c>
      <x:c r="G111" s="10" t="n">
        <x:v>3</x:v>
      </x:c>
      <x:c r="H111" s="10" t="str">
        <x:v>Deployment Options</x:v>
      </x:c>
      <x:c r="I111" s="10" t="str">
        <x:v>Editable SVG/layers + 1200 x 1200 WebP; 1200 x 1000 WebP crop of shared master</x:v>
      </x:c>
    </x:row>
    <x:row r="112" ht="38" customHeight="1">
      <x:c r="A112" s="5" t="str">
        <x:v>A107</x:v>
      </x:c>
      <x:c r="B112" s="5" t="str">
        <x:v>Deployment Options / Private</x:v>
      </x:c>
      <x:c r="C112" s="5" t="str">
        <x:v>A dedicated environment architecture enclosed within a clearly labeled private boundary.</x:v>
      </x:c>
      <x:c r="D112" s="5" t="str">
        <x:v>Rework</x:v>
      </x:c>
      <x:c r="E112" s="5" t="str">
        <x:v>Standard</x:v>
      </x:c>
      <x:c r="F112" s="11" t="str">
        <x:v>Not started</x:v>
      </x:c>
      <x:c r="G112" s="5" t="n">
        <x:v>2</x:v>
      </x:c>
      <x:c r="H112" s="5" t="str">
        <x:v>Deployment Options</x:v>
      </x:c>
      <x:c r="I112" s="5" t="str">
        <x:v>1200 x 1000 WebP crop of shared master; Editable SVG/layers + 1200 x 1200 WebP</x:v>
      </x:c>
    </x:row>
    <x:row r="113" ht="38" customHeight="1">
      <x:c r="A113" s="10" t="str">
        <x:v>A108</x:v>
      </x:c>
      <x:c r="B113" s="10" t="str">
        <x:v>Deployment Options / On Premise</x:v>
      </x:c>
      <x:c r="C113" s="10" t="str">
        <x:v>An on-premise architecture with infrastructure ownership and operational responsibilities labeled.</x:v>
      </x:c>
      <x:c r="D113" s="10" t="str">
        <x:v>Rework</x:v>
      </x:c>
      <x:c r="E113" s="10" t="str">
        <x:v>Standard</x:v>
      </x:c>
      <x:c r="F113" s="11" t="str">
        <x:v>Not started</x:v>
      </x:c>
      <x:c r="G113" s="10" t="n">
        <x:v>2</x:v>
      </x:c>
      <x:c r="H113" s="10" t="str">
        <x:v>Deployment Options</x:v>
      </x:c>
      <x:c r="I113" s="10" t="str">
        <x:v>1200 x 1000 WebP crop of shared master; Editable SVG/layers + 1200 x 1200 WebP</x:v>
      </x:c>
    </x:row>
    <x:row r="114" ht="38" customHeight="1">
      <x:c r="A114" s="5" t="str">
        <x:v>A109</x:v>
      </x:c>
      <x:c r="B114" s="5" t="str">
        <x:v>Deployment Options / Models</x:v>
      </x:c>
      <x:c r="C114" s="5" t="str">
        <x:v>A model access chooser connecting approved providers to the deployment environment.</x:v>
      </x:c>
      <x:c r="D114" s="5" t="str">
        <x:v>Rework</x:v>
      </x:c>
      <x:c r="E114" s="5" t="str">
        <x:v>Standard</x:v>
      </x:c>
      <x:c r="F114" s="11" t="str">
        <x:v>Not started</x:v>
      </x:c>
      <x:c r="G114" s="5" t="n">
        <x:v>2</x:v>
      </x:c>
      <x:c r="H114" s="5" t="str">
        <x:v>Deployment Options</x:v>
      </x:c>
      <x:c r="I114" s="5" t="str">
        <x:v>1200 x 1000 WebP crop of shared master; Editable SVG/layers + 1200 x 1200 WebP</x:v>
      </x:c>
    </x:row>
    <x:row r="115" ht="38" customHeight="1">
      <x:c r="A115" s="10" t="str">
        <x:v>A110</x:v>
      </x:c>
      <x:c r="B115" s="10" t="str">
        <x:v>Deployment Options / Regions</x:v>
      </x:c>
      <x:c r="C115" s="10" t="str">
        <x:v>A regional deployment map with a selected data location and defined storage boundary.</x:v>
      </x:c>
      <x:c r="D115" s="10" t="str">
        <x:v>Rework</x:v>
      </x:c>
      <x:c r="E115" s="10" t="str">
        <x:v>Standard</x:v>
      </x:c>
      <x:c r="F115" s="11" t="str">
        <x:v>Not started</x:v>
      </x:c>
      <x:c r="G115" s="10" t="n">
        <x:v>2</x:v>
      </x:c>
      <x:c r="H115" s="10" t="str">
        <x:v>Deployment Options</x:v>
      </x:c>
      <x:c r="I115" s="10" t="str">
        <x:v>1200 x 1000 WebP crop of shared master; Editable SVG/layers + 1200 x 1200 WebP</x:v>
      </x:c>
    </x:row>
    <x:row r="116" ht="38" customHeight="1">
      <x:c r="A116" s="5" t="str">
        <x:v>A111</x:v>
      </x:c>
      <x:c r="B116" s="5" t="str">
        <x:v>Deployment Options / Migration</x:v>
      </x:c>
      <x:c r="C116" s="5" t="str">
        <x:v>A staged migration path from source environment through validation to the destination.</x:v>
      </x:c>
      <x:c r="D116" s="5" t="str">
        <x:v>Rework</x:v>
      </x:c>
      <x:c r="E116" s="5" t="str">
        <x:v>Standard</x:v>
      </x:c>
      <x:c r="F116" s="11" t="str">
        <x:v>Not started</x:v>
      </x:c>
      <x:c r="G116" s="5" t="n">
        <x:v>2</x:v>
      </x:c>
      <x:c r="H116" s="5" t="str">
        <x:v>Deployment Options</x:v>
      </x:c>
      <x:c r="I116" s="5" t="str">
        <x:v>1200 x 1000 WebP crop of shared master; Editable SVG/layers + 1200 x 1200 WebP</x:v>
      </x:c>
    </x:row>
    <x:row r="117" ht="38" customHeight="1">
      <x:c r="A117" s="10" t="str">
        <x:v>A112</x:v>
      </x:c>
      <x:c r="B117" s="10" t="str">
        <x:v>Deployment Options / Governance</x:v>
      </x:c>
      <x:c r="C117" s="10" t="str">
        <x:v>An environment policy panel with roles, access boundaries and review controls.</x:v>
      </x:c>
      <x:c r="D117" s="10" t="str">
        <x:v>Rework</x:v>
      </x:c>
      <x:c r="E117" s="10" t="str">
        <x:v>Standard</x:v>
      </x:c>
      <x:c r="F117" s="11" t="str">
        <x:v>Not started</x:v>
      </x:c>
      <x:c r="G117" s="10" t="n">
        <x:v>2</x:v>
      </x:c>
      <x:c r="H117" s="10" t="str">
        <x:v>Deployment Options</x:v>
      </x:c>
      <x:c r="I117" s="10" t="str">
        <x:v>1200 x 1000 WebP crop of shared master; Editable SVG/layers + 1200 x 1200 WebP</x:v>
      </x:c>
    </x:row>
    <x:row r="118" ht="38" customHeight="1">
      <x:c r="A118" s="5" t="str">
        <x:v>A113</x:v>
      </x:c>
      <x:c r="B118" s="5" t="str">
        <x:v>Deployment Options / Support</x:v>
      </x:c>
      <x:c r="C118" s="5" t="str">
        <x:v>A rollout checklist assigning infrastructure, security and operational tasks to team owners.</x:v>
      </x:c>
      <x:c r="D118" s="5" t="str">
        <x:v>Rework</x:v>
      </x:c>
      <x:c r="E118" s="5" t="str">
        <x:v>Standard</x:v>
      </x:c>
      <x:c r="F118" s="11" t="str">
        <x:v>Not started</x:v>
      </x:c>
      <x:c r="G118" s="5" t="n">
        <x:v>2</x:v>
      </x:c>
      <x:c r="H118" s="5" t="str">
        <x:v>Deployment Options</x:v>
      </x:c>
      <x:c r="I118" s="5" t="str">
        <x:v>1200 x 1000 WebP crop of shared master; Editable SVG/layers + 1200 x 1200 WebP</x:v>
      </x:c>
    </x:row>
    <x:row r="119" ht="38" customHeight="1">
      <x:c r="A119" s="10" t="str">
        <x:v>A114</x:v>
      </x:c>
      <x:c r="B119" s="10" t="str">
        <x:v>Security and Compliance / Compliance</x:v>
      </x:c>
      <x:c r="C119" s="10" t="str">
        <x:v>An evidence library with policy and review documents grouped for assessment. Avoid unverified certification badges.</x:v>
      </x:c>
      <x:c r="D119" s="10" t="str">
        <x:v>Rework</x:v>
      </x:c>
      <x:c r="E119" s="10" t="str">
        <x:v>High</x:v>
      </x:c>
      <x:c r="F119" s="11" t="str">
        <x:v>Not started</x:v>
      </x:c>
      <x:c r="G119" s="10" t="n">
        <x:v>3</x:v>
      </x:c>
      <x:c r="H119" s="10" t="str">
        <x:v>Security and Compliance</x:v>
      </x:c>
      <x:c r="I119" s="10" t="str">
        <x:v>Editable SVG/layers + 1200 x 1200 WebP; 1200 x 1000 WebP crop of shared master</x:v>
      </x:c>
    </x:row>
    <x:row r="120" ht="38" customHeight="1">
      <x:c r="A120" s="5" t="str">
        <x:v>A115</x:v>
      </x:c>
      <x:c r="B120" s="5" t="str">
        <x:v>Security and Compliance / Privacy</x:v>
      </x:c>
      <x:c r="C120" s="5" t="str">
        <x:v>A data-flow diagram showing collection, processing, storage and controlled sharing boundaries.</x:v>
      </x:c>
      <x:c r="D120" s="5" t="str">
        <x:v>Rework</x:v>
      </x:c>
      <x:c r="E120" s="5" t="str">
        <x:v>Standard</x:v>
      </x:c>
      <x:c r="F120" s="11" t="str">
        <x:v>Not started</x:v>
      </x:c>
      <x:c r="G120" s="5" t="n">
        <x:v>2</x:v>
      </x:c>
      <x:c r="H120" s="5" t="str">
        <x:v>Security and Compliance</x:v>
      </x:c>
      <x:c r="I120" s="5" t="str">
        <x:v>1200 x 1000 WebP crop of shared master; Editable SVG/layers + 1200 x 1200 WebP</x:v>
      </x:c>
    </x:row>
    <x:row r="121" ht="38" customHeight="1">
      <x:c r="A121" s="10" t="str">
        <x:v>A116</x:v>
      </x:c>
      <x:c r="B121" s="10" t="str">
        <x:v>Security and Compliance / Data</x:v>
      </x:c>
      <x:c r="C121" s="10" t="str">
        <x:v>A data-handling panel showing retention, deletion and storage settings.</x:v>
      </x:c>
      <x:c r="D121" s="10" t="str">
        <x:v>Rework</x:v>
      </x:c>
      <x:c r="E121" s="10" t="str">
        <x:v>Standard</x:v>
      </x:c>
      <x:c r="F121" s="11" t="str">
        <x:v>Not started</x:v>
      </x:c>
      <x:c r="G121" s="10" t="n">
        <x:v>2</x:v>
      </x:c>
      <x:c r="H121" s="10" t="str">
        <x:v>Security and Compliance</x:v>
      </x:c>
      <x:c r="I121" s="10" t="str">
        <x:v>1200 x 1000 WebP crop of shared master; Editable SVG/layers + 1200 x 1200 WebP</x:v>
      </x:c>
    </x:row>
    <x:row r="122" ht="38" customHeight="1">
      <x:c r="A122" s="5" t="str">
        <x:v>A117</x:v>
      </x:c>
      <x:c r="B122" s="5" t="str">
        <x:v>Security and Compliance / Access</x:v>
      </x:c>
      <x:c r="C122" s="5" t="str">
        <x:v>A role-and-permission matrix with a scoped access drawer and an approval step.</x:v>
      </x:c>
      <x:c r="D122" s="5" t="str">
        <x:v>Rework</x:v>
      </x:c>
      <x:c r="E122" s="5" t="str">
        <x:v>Standard</x:v>
      </x:c>
      <x:c r="F122" s="11" t="str">
        <x:v>Not started</x:v>
      </x:c>
      <x:c r="G122" s="5" t="n">
        <x:v>2</x:v>
      </x:c>
      <x:c r="H122" s="5" t="str">
        <x:v>Security and Compliance</x:v>
      </x:c>
      <x:c r="I122" s="5" t="str">
        <x:v>1200 x 1000 WebP crop of shared master; Editable SVG/layers + 1200 x 1200 WebP</x:v>
      </x:c>
    </x:row>
    <x:row r="123" ht="38" customHeight="1">
      <x:c r="A123" s="10" t="str">
        <x:v>A118</x:v>
      </x:c>
      <x:c r="B123" s="10" t="str">
        <x:v>Security and Compliance / Audit</x:v>
      </x:c>
      <x:c r="C123" s="10" t="str">
        <x:v>An audit timeline showing actor, action, timestamp and the affected record.</x:v>
      </x:c>
      <x:c r="D123" s="10" t="str">
        <x:v>Rework</x:v>
      </x:c>
      <x:c r="E123" s="10" t="str">
        <x:v>Standard</x:v>
      </x:c>
      <x:c r="F123" s="11" t="str">
        <x:v>Not started</x:v>
      </x:c>
      <x:c r="G123" s="10" t="n">
        <x:v>2</x:v>
      </x:c>
      <x:c r="H123" s="10" t="str">
        <x:v>Security and Compliance</x:v>
      </x:c>
      <x:c r="I123" s="10" t="str">
        <x:v>1200 x 1000 WebP crop of shared master; Editable SVG/layers + 1200 x 1200 WebP</x:v>
      </x:c>
    </x:row>
    <x:row r="124" ht="38" customHeight="1">
      <x:c r="A124" s="5" t="str">
        <x:v>A119</x:v>
      </x:c>
      <x:c r="B124" s="5" t="str">
        <x:v>Security and Compliance / Encryption</x:v>
      </x:c>
      <x:c r="C124" s="5" t="str">
        <x:v>A data-path diagram marking transport and storage protection review points.</x:v>
      </x:c>
      <x:c r="D124" s="5" t="str">
        <x:v>Rework</x:v>
      </x:c>
      <x:c r="E124" s="5" t="str">
        <x:v>Standard</x:v>
      </x:c>
      <x:c r="F124" s="11" t="str">
        <x:v>Not started</x:v>
      </x:c>
      <x:c r="G124" s="5" t="n">
        <x:v>2</x:v>
      </x:c>
      <x:c r="H124" s="5" t="str">
        <x:v>Security and Compliance</x:v>
      </x:c>
      <x:c r="I124" s="5" t="str">
        <x:v>1200 x 1000 WebP crop of shared master; Editable SVG/layers + 1200 x 1200 WebP</x:v>
      </x:c>
    </x:row>
    <x:row r="125" ht="38" customHeight="1">
      <x:c r="A125" s="10" t="str">
        <x:v>A120</x:v>
      </x:c>
      <x:c r="B125" s="10" t="str">
        <x:v>Security and Compliance / Ai Security</x:v>
      </x:c>
      <x:c r="C125" s="10" t="str">
        <x:v>An agent boundary view showing allowed inputs, scoped tools and restricted actions.</x:v>
      </x:c>
      <x:c r="D125" s="10" t="str">
        <x:v>Rework</x:v>
      </x:c>
      <x:c r="E125" s="10" t="str">
        <x:v>Standard</x:v>
      </x:c>
      <x:c r="F125" s="11" t="str">
        <x:v>Not started</x:v>
      </x:c>
      <x:c r="G125" s="10" t="n">
        <x:v>2</x:v>
      </x:c>
      <x:c r="H125" s="10" t="str">
        <x:v>Security and Compliance</x:v>
      </x:c>
      <x:c r="I125" s="10" t="str">
        <x:v>1200 x 1000 WebP crop of shared master; Editable SVG/layers + 1200 x 1200 WebP</x:v>
      </x:c>
    </x:row>
    <x:row r="126" ht="38" customHeight="1">
      <x:c r="A126" s="5" t="str">
        <x:v>A121</x:v>
      </x:c>
      <x:c r="B126" s="5" t="str">
        <x:v>Security and Compliance / Deployment</x:v>
      </x:c>
      <x:c r="C126" s="5" t="str">
        <x:v>An infrastructure security diagram separating network, workload and administrative access.</x:v>
      </x:c>
      <x:c r="D126" s="5" t="str">
        <x:v>Rework</x:v>
      </x:c>
      <x:c r="E126" s="5" t="str">
        <x:v>Standard</x:v>
      </x:c>
      <x:c r="F126" s="11" t="str">
        <x:v>Not started</x:v>
      </x:c>
      <x:c r="G126" s="5" t="n">
        <x:v>2</x:v>
      </x:c>
      <x:c r="H126" s="5" t="str">
        <x:v>Security and Compliance</x:v>
      </x:c>
      <x:c r="I126" s="5" t="str">
        <x:v>1200 x 1000 WebP crop of shared master; Editable SVG/layers + 1200 x 1200 WebP</x:v>
      </x:c>
    </x:row>
  </x:sheetData>
  <x:dataValidations count="1">
    <x:dataValidation type="list" sqref="F6:F126">
      <x:formula1>"Not started,In progress,Ready for review,Approved,Existing"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7546c3a67ee441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4" hidden="0" customWidth="1"/>
    <x:col min="2" max="2" width="25" hidden="0" customWidth="1"/>
    <x:col min="3" max="3" width="24" hidden="0" customWidth="1"/>
    <x:col min="4" max="4" width="40" hidden="0" customWidth="1"/>
    <x:col min="5" max="5" width="12" hidden="0" customWidth="1"/>
    <x:col min="6" max="6" width="76" hidden="0" customWidth="1"/>
    <x:col min="7" max="7" width="14" hidden="0" customWidth="1"/>
    <x:col min="8" max="8" width="17" hidden="0" customWidth="1"/>
    <x:col min="9" max="9" width="40" hidden="0" customWidth="1"/>
    <x:col min="10" max="10" width="28" hidden="0" customWidth="1"/>
    <x:col min="11" max="11" width="65" hidden="0" customWidth="1"/>
    <x:col min="12" max="12" width="18" hidden="0" customWidth="1"/>
    <x:col min="13" max="13" width="30" hidden="0" customWidth="1"/>
    <x:col min="14" max="14" width="65" hidden="0" customWidth="1"/>
    <x:col min="15" max="15" width="6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>
      <x:c r="A2" s="2" t="str">
        <x:v>All artwork placements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>
      <x:c r="A3" s="3" t="str">
        <x:v>299 placements across 16 pages. Shared Asset IDs identify reuse. Status links to Production assets.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30" customHeight="1">
      <x:c r="A5" s="9" t="str">
        <x:v>Placement ID</x:v>
      </x:c>
      <x:c r="B5" s="9" t="str">
        <x:v>Page</x:v>
      </x:c>
      <x:c r="C5" s="9" t="str">
        <x:v>Section</x:v>
      </x:c>
      <x:c r="D5" s="9" t="str">
        <x:v>Section title</x:v>
      </x:c>
      <x:c r="E5" s="9" t="str">
        <x:v>Asset ID</x:v>
      </x:c>
      <x:c r="F5" s="9" t="str">
        <x:v>Recommended artwork</x:v>
      </x:c>
      <x:c r="G5" s="9" t="str">
        <x:v>Action</x:v>
      </x:c>
      <x:c r="H5" s="9" t="str">
        <x:v>Status</x:v>
      </x:c>
      <x:c r="I5" s="9" t="str">
        <x:v>Recommended deliverable</x:v>
      </x:c>
      <x:c r="J5" s="9" t="str">
        <x:v>Current artwork</x:v>
      </x:c>
      <x:c r="K5" s="9" t="str">
        <x:v>Current sources</x:v>
      </x:c>
      <x:c r="L5" s="9" t="str">
        <x:v>Desktop size (px)</x:v>
      </x:c>
      <x:c r="M5" s="9" t="str">
        <x:v>Gradient palette</x:v>
      </x:c>
      <x:c r="N5" s="9" t="str">
        <x:v>Reuse and crop notes</x:v>
      </x:c>
      <x:c r="O5" s="9" t="str">
        <x:v>Page reference</x:v>
      </x:c>
    </x:row>
    <x:row r="6" ht="38" customHeight="1">
      <x:c r="A6" s="5" t="str">
        <x:v>P01-01</x:v>
      </x:c>
      <x:c r="B6" s="5" t="str">
        <x:v>Platform</x:v>
      </x:c>
      <x:c r="C6" s="5" t="str">
        <x:v>Hero background</x:v>
      </x:c>
      <x:c r="D6" s="5" t="str">
        <x:v>Your operation, connected.</x:v>
      </x:c>
      <x:c r="E6" s="5" t="str">
        <x:v>A001</x:v>
      </x:c>
      <x:c r="F6" s="5" t="str">
        <x:v>Reuse the existing Paper SVG as a separate background layer. No new background required.</x:v>
      </x:c>
      <x:c r="G6" s="5" t="str">
        <x:v>Reuse</x:v>
      </x:c>
      <x:c r="H6" s="5" t="str">
        <x:f>'Production assets'!F6</x:f>
        <x:v>Existing</x:v>
      </x:c>
      <x:c r="I6" s="5" t="str">
        <x:v>Existing scalable SVG</x:v>
      </x:c>
      <x:c r="J6" s="5" t="str">
        <x:v>Existing background</x:v>
      </x:c>
      <x:c r="K6" s="5" t="str">
        <x:v>/brand/calendly/assistant-hero.svg</x:v>
      </x:c>
      <x:c r="L6" s="5" t="str">
        <x:v>1387 x 776</x:v>
      </x:c>
      <x:c r="M6" s="5" t="str">
        <x:v>Ice blue, white, teal, deep green</x:v>
      </x:c>
      <x:c r="N6" s="5" t="str">
        <x:v>Shared by every page using this style.</x:v>
      </x:c>
      <x:c r="O6" s="5" t="str">
        <x:v>http://localhost:3000/platform</x:v>
      </x:c>
    </x:row>
    <x:row r="7" ht="38" customHeight="1">
      <x:c r="A7" s="10" t="str">
        <x:v>P01-02</x:v>
      </x:c>
      <x:c r="B7" s="10" t="str">
        <x:v>Platform</x:v>
      </x:c>
      <x:c r="C7" s="10" t="str">
        <x:v>Feature card</x:v>
      </x:c>
      <x:c r="D7" s="10" t="str">
        <x:v>Agentic Automation</x:v>
      </x:c>
      <x:c r="E7" s="10" t="str">
        <x:v>A002</x:v>
      </x:c>
      <x:c r="F7" s="10" t="str">
        <x:v>A request routed through an agent, a tool action and a review gate.</x:v>
      </x:c>
      <x:c r="G7" s="10" t="str">
        <x:v>Create</x:v>
      </x:c>
      <x:c r="H7" s="10" t="str">
        <x:f>'Production assets'!F7</x:f>
        <x:v>Not started</x:v>
      </x:c>
      <x:c r="I7" s="10" t="str">
        <x:v>Editable SVG + 1200 x 1000 WebP</x:v>
      </x:c>
      <x:c r="J7" s="10" t="str">
        <x:v>Text placeholder</x:v>
      </x:c>
      <x:c r="K7" s="10" t="str">
        <x:v>CSS gradient + live UI</x:v>
      </x:c>
      <x:c r="L7" s="10" t="str">
        <x:v>320 x 267</x:v>
      </x:c>
      <x:c r="M7" s="10" t="str">
        <x:v>Ice blue, white, teal, deep green</x:v>
      </x:c>
      <x:c r="N7" s="10" t="str">
        <x:v>Create once and reuse across related-product cards and the Platform card rail. Keep the gradient separate.</x:v>
      </x:c>
      <x:c r="O7" s="10" t="str">
        <x:v>http://localhost:3000/platform</x:v>
      </x:c>
    </x:row>
    <x:row r="8" ht="38" customHeight="1">
      <x:c r="A8" s="5" t="str">
        <x:v>P01-03</x:v>
      </x:c>
      <x:c r="B8" s="5" t="str">
        <x:v>Platform</x:v>
      </x:c>
      <x:c r="C8" s="5" t="str">
        <x:v>Feature card</x:v>
      </x:c>
      <x:c r="D8" s="5" t="str">
        <x:v>Self Learning</x:v>
      </x:c>
      <x:c r="E8" s="5" t="str">
        <x:v>A003</x:v>
      </x:c>
      <x:c r="F8" s="5" t="str">
        <x:v>A feedback card feeding a revised workflow and validation check.</x:v>
      </x:c>
      <x:c r="G8" s="5" t="str">
        <x:v>Create</x:v>
      </x:c>
      <x:c r="H8" s="5" t="str">
        <x:f>'Production assets'!F8</x:f>
        <x:v>Not started</x:v>
      </x:c>
      <x:c r="I8" s="5" t="str">
        <x:v>Editable SVG + 1200 x 1000 WebP</x:v>
      </x:c>
      <x:c r="J8" s="5" t="str">
        <x:v>Text placeholder</x:v>
      </x:c>
      <x:c r="K8" s="5" t="str">
        <x:v>CSS gradient + live UI</x:v>
      </x:c>
      <x:c r="L8" s="5" t="str">
        <x:v>320 x 267</x:v>
      </x:c>
      <x:c r="M8" s="5" t="str">
        <x:v>Ice blue, white, teal, deep green</x:v>
      </x:c>
      <x:c r="N8" s="5" t="str">
        <x:v>Create once and reuse across related-product cards and the Platform card rail. Keep the gradient separate.</x:v>
      </x:c>
      <x:c r="O8" s="5" t="str">
        <x:v>http://localhost:3000/platform</x:v>
      </x:c>
    </x:row>
    <x:row r="9" ht="38" customHeight="1">
      <x:c r="A9" s="10" t="str">
        <x:v>P01-04</x:v>
      </x:c>
      <x:c r="B9" s="10" t="str">
        <x:v>Platform</x:v>
      </x:c>
      <x:c r="C9" s="10" t="str">
        <x:v>Feature card</x:v>
      </x:c>
      <x:c r="D9" s="10" t="str">
        <x:v>Evaluations</x:v>
      </x:c>
      <x:c r="E9" s="10" t="str">
        <x:v>A004</x:v>
      </x:c>
      <x:c r="F9" s="10" t="str">
        <x:v>An expected-versus-actual result card with a review checklist.</x:v>
      </x:c>
      <x:c r="G9" s="10" t="str">
        <x:v>Create</x:v>
      </x:c>
      <x:c r="H9" s="10" t="str">
        <x:f>'Production assets'!F9</x:f>
        <x:v>Not started</x:v>
      </x:c>
      <x:c r="I9" s="10" t="str">
        <x:v>Editable SVG + 1200 x 1000 WebP</x:v>
      </x:c>
      <x:c r="J9" s="10" t="str">
        <x:v>Text placeholder</x:v>
      </x:c>
      <x:c r="K9" s="10" t="str">
        <x:v>CSS gradient + live UI</x:v>
      </x:c>
      <x:c r="L9" s="10" t="str">
        <x:v>320 x 267</x:v>
      </x:c>
      <x:c r="M9" s="10" t="str">
        <x:v>Ice blue, white, teal, deep green</x:v>
      </x:c>
      <x:c r="N9" s="10" t="str">
        <x:v>Create once and reuse across related-product cards and the Platform card rail. Keep the gradient separate.</x:v>
      </x:c>
      <x:c r="O9" s="10" t="str">
        <x:v>http://localhost:3000/platform</x:v>
      </x:c>
    </x:row>
    <x:row r="10" ht="38" customHeight="1">
      <x:c r="A10" s="5" t="str">
        <x:v>P01-05</x:v>
      </x:c>
      <x:c r="B10" s="5" t="str">
        <x:v>Platform</x:v>
      </x:c>
      <x:c r="C10" s="5" t="str">
        <x:v>Feature card</x:v>
      </x:c>
      <x:c r="D10" s="5" t="str">
        <x:v>Analytics and Observability</x:v>
      </x:c>
      <x:c r="E10" s="5" t="str">
        <x:v>A005</x:v>
      </x:c>
      <x:c r="F10" s="5" t="str">
        <x:v>A miniature trace timeline and workflow health dashboard.</x:v>
      </x:c>
      <x:c r="G10" s="5" t="str">
        <x:v>Create</x:v>
      </x:c>
      <x:c r="H10" s="5" t="str">
        <x:f>'Production assets'!F10</x:f>
        <x:v>Not started</x:v>
      </x:c>
      <x:c r="I10" s="5" t="str">
        <x:v>Editable SVG + 1200 x 1000 WebP</x:v>
      </x:c>
      <x:c r="J10" s="5" t="str">
        <x:v>Text placeholder</x:v>
      </x:c>
      <x:c r="K10" s="5" t="str">
        <x:v>CSS gradient + live UI</x:v>
      </x:c>
      <x:c r="L10" s="5" t="str">
        <x:v>320 x 267</x:v>
      </x:c>
      <x:c r="M10" s="5" t="str">
        <x:v>Ice blue, white, teal, deep green</x:v>
      </x:c>
      <x:c r="N10" s="5" t="str">
        <x:v>Create once and reuse across related-product cards and the Platform card rail. Keep the gradient separate.</x:v>
      </x:c>
      <x:c r="O10" s="5" t="str">
        <x:v>http://localhost:3000/platform</x:v>
      </x:c>
    </x:row>
    <x:row r="11" ht="38" customHeight="1">
      <x:c r="A11" s="10" t="str">
        <x:v>P01-06</x:v>
      </x:c>
      <x:c r="B11" s="10" t="str">
        <x:v>Platform</x:v>
      </x:c>
      <x:c r="C11" s="10" t="str">
        <x:v>Feature card</x:v>
      </x:c>
      <x:c r="D11" s="10" t="str">
        <x:v>Integrations</x:v>
      </x:c>
      <x:c r="E11" s="10" t="str">
        <x:v>A006</x:v>
      </x:c>
      <x:c r="F11" s="10" t="str">
        <x:v>A central Innflow node connected to a small set of tool tiles.</x:v>
      </x:c>
      <x:c r="G11" s="10" t="str">
        <x:v>Create</x:v>
      </x:c>
      <x:c r="H11" s="10" t="str">
        <x:f>'Production assets'!F11</x:f>
        <x:v>Not started</x:v>
      </x:c>
      <x:c r="I11" s="10" t="str">
        <x:v>Editable SVG + 1200 x 1000 WebP</x:v>
      </x:c>
      <x:c r="J11" s="10" t="str">
        <x:v>Text placeholder</x:v>
      </x:c>
      <x:c r="K11" s="10" t="str">
        <x:v>CSS gradient + live UI</x:v>
      </x:c>
      <x:c r="L11" s="10" t="str">
        <x:v>320 x 267</x:v>
      </x:c>
      <x:c r="M11" s="10" t="str">
        <x:v>Ice blue, white, teal, deep green</x:v>
      </x:c>
      <x:c r="N11" s="10" t="str">
        <x:v>Create once and reuse across related-product cards and the Platform card rail. Keep the gradient separate.</x:v>
      </x:c>
      <x:c r="O11" s="10" t="str">
        <x:v>http://localhost:3000/platform</x:v>
      </x:c>
    </x:row>
    <x:row r="12" ht="38" customHeight="1">
      <x:c r="A12" s="5" t="str">
        <x:v>P01-07</x:v>
      </x:c>
      <x:c r="B12" s="5" t="str">
        <x:v>Platform</x:v>
      </x:c>
      <x:c r="C12" s="5" t="str">
        <x:v>Feature card</x:v>
      </x:c>
      <x:c r="D12" s="5" t="str">
        <x:v>Deployment Options</x:v>
      </x:c>
      <x:c r="E12" s="5" t="str">
        <x:v>A007</x:v>
      </x:c>
      <x:c r="F12" s="5" t="str">
        <x:v>A deployment chooser with hosted, private and on-premise architecture tiles.</x:v>
      </x:c>
      <x:c r="G12" s="5" t="str">
        <x:v>Create</x:v>
      </x:c>
      <x:c r="H12" s="5" t="str">
        <x:f>'Production assets'!F12</x:f>
        <x:v>Not started</x:v>
      </x:c>
      <x:c r="I12" s="5" t="str">
        <x:v>Editable SVG + 1200 x 1000 WebP</x:v>
      </x:c>
      <x:c r="J12" s="5" t="str">
        <x:v>Text placeholder</x:v>
      </x:c>
      <x:c r="K12" s="5" t="str">
        <x:v>CSS gradient + live UI</x:v>
      </x:c>
      <x:c r="L12" s="5" t="str">
        <x:v>320 x 267</x:v>
      </x:c>
      <x:c r="M12" s="5" t="str">
        <x:v>Ice blue, white, teal, deep green</x:v>
      </x:c>
      <x:c r="N12" s="5" t="str">
        <x:v>Create once and reuse across related-product cards and the Platform card rail. Keep the gradient separate.</x:v>
      </x:c>
      <x:c r="O12" s="5" t="str">
        <x:v>http://localhost:3000/platform</x:v>
      </x:c>
    </x:row>
    <x:row r="13" ht="38" customHeight="1">
      <x:c r="A13" s="10" t="str">
        <x:v>P01-08</x:v>
      </x:c>
      <x:c r="B13" s="10" t="str">
        <x:v>Platform</x:v>
      </x:c>
      <x:c r="C13" s="10" t="str">
        <x:v>Feature card</x:v>
      </x:c>
      <x:c r="D13" s="10" t="str">
        <x:v>Security and Compliance</x:v>
      </x:c>
      <x:c r="E13" s="10" t="str">
        <x:v>A008</x:v>
      </x:c>
      <x:c r="F13" s="10" t="str">
        <x:v>A scoped-access panel beside an audit record and evidence folder.</x:v>
      </x:c>
      <x:c r="G13" s="10" t="str">
        <x:v>Create</x:v>
      </x:c>
      <x:c r="H13" s="10" t="str">
        <x:f>'Production assets'!F13</x:f>
        <x:v>Not started</x:v>
      </x:c>
      <x:c r="I13" s="10" t="str">
        <x:v>Editable SVG + 1200 x 1000 WebP</x:v>
      </x:c>
      <x:c r="J13" s="10" t="str">
        <x:v>Text placeholder</x:v>
      </x:c>
      <x:c r="K13" s="10" t="str">
        <x:v>CSS gradient + live UI</x:v>
      </x:c>
      <x:c r="L13" s="10" t="str">
        <x:v>320 x 267</x:v>
      </x:c>
      <x:c r="M13" s="10" t="str">
        <x:v>Ice blue, white, teal, deep green</x:v>
      </x:c>
      <x:c r="N13" s="10" t="str">
        <x:v>Create once and reuse across related-product cards and the Platform card rail. Keep the gradient separate.</x:v>
      </x:c>
      <x:c r="O13" s="10" t="str">
        <x:v>http://localhost:3000/platform</x:v>
      </x:c>
    </x:row>
    <x:row r="14" ht="38" customHeight="1">
      <x:c r="A14" s="5" t="str">
        <x:v>P01-09</x:v>
      </x:c>
      <x:c r="B14" s="5" t="str">
        <x:v>Platform</x:v>
      </x:c>
      <x:c r="C14" s="5" t="str">
        <x:v>Product overview</x:v>
      </x:c>
      <x:c r="D14" s="5" t="str">
        <x:v>Your operation, connected.</x:v>
      </x:c>
      <x:c r="E14" s="5" t="str">
        <x:v>A009</x:v>
      </x:c>
      <x:c r="F14" s="5" t="str">
        <x:v>Retain the existing interactive workspace. Optional static poster only if a still image is needed.</x:v>
      </x:c>
      <x:c r="G14" s="5" t="str">
        <x:v>Reuse</x:v>
      </x:c>
      <x:c r="H14" s="5" t="str">
        <x:f>'Production assets'!F14</x:f>
        <x:v>Existing</x:v>
      </x:c>
      <x:c r="I14" s="5" t="str">
        <x:v>Live component; optional 1920 px wide poster</x:v>
      </x:c>
      <x:c r="J14" s="5" t="str">
        <x:v>Interactive workspace</x:v>
      </x:c>
      <x:c r="K14" s="5" t="str">
        <x:v>CSS gradient + live UI</x:v>
      </x:c>
      <x:c r="L14" s="5" t="str">
        <x:v>960 x 678</x:v>
      </x:c>
      <x:c r="M14" s="5" t="str">
        <x:v>Ice blue, white, teal, deep green</x:v>
      </x:c>
      <x:c r="N14" s="5" t="str">
        <x:v>Do not replace working controls with a flattened image.</x:v>
      </x:c>
      <x:c r="O14" s="5" t="str">
        <x:v>http://localhost:3000/platform</x:v>
      </x:c>
    </x:row>
    <x:row r="15" ht="38" customHeight="1">
      <x:c r="A15" s="10" t="str">
        <x:v>P01-10</x:v>
      </x:c>
      <x:c r="B15" s="10" t="str">
        <x:v>Platform</x:v>
      </x:c>
      <x:c r="C15" s="10" t="str">
        <x:v>Related product thumbnail</x:v>
      </x:c>
      <x:c r="D15" s="10" t="str">
        <x:v>Integrations</x:v>
      </x:c>
      <x:c r="E15" s="10" t="str">
        <x:v>A006</x:v>
      </x:c>
      <x:c r="F15" s="10" t="str">
        <x:v>A central Innflow node connected to a small set of tool tiles.</x:v>
      </x:c>
      <x:c r="G15" s="10" t="str">
        <x:v>Create</x:v>
      </x:c>
      <x:c r="H15" s="10" t="str">
        <x:f>'Production assets'!F11</x:f>
        <x:v>Not started</x:v>
      </x:c>
      <x:c r="I15" s="10" t="str">
        <x:v>Editable SVG + 1200 x 1000 WebP</x:v>
      </x:c>
      <x:c r="J15" s="10" t="str">
        <x:v>Generic star on gradient</x:v>
      </x:c>
      <x:c r="K15" s="10" t="str">
        <x:v>/brand/calendly/scheduling-hero.svg + star glyph</x:v>
      </x:c>
      <x:c r="L15" s="10" t="str">
        <x:v>227 x 189</x:v>
      </x:c>
      <x:c r="M15" s="10" t="str">
        <x:v>Sky blue, pale aqua, navy</x:v>
      </x:c>
      <x:c r="N15" s="10" t="str">
        <x:v>Create once and reuse across related-product cards and the Platform card rail. Keep the gradient separate.</x:v>
      </x:c>
      <x:c r="O15" s="10" t="str">
        <x:v>http://localhost:3000/platform</x:v>
      </x:c>
    </x:row>
    <x:row r="16" ht="38" customHeight="1">
      <x:c r="A16" s="5" t="str">
        <x:v>P01-11</x:v>
      </x:c>
      <x:c r="B16" s="5" t="str">
        <x:v>Platform</x:v>
      </x:c>
      <x:c r="C16" s="5" t="str">
        <x:v>Related product thumbnail</x:v>
      </x:c>
      <x:c r="D16" s="5" t="str">
        <x:v>Agentic Workflows</x:v>
      </x:c>
      <x:c r="E16" s="5" t="str">
        <x:v>A010</x:v>
      </x:c>
      <x:c r="F16" s="5" t="str">
        <x:v>A compact workflow canvas with trigger, branch and action nodes.</x:v>
      </x:c>
      <x:c r="G16" s="5" t="str">
        <x:v>Create</x:v>
      </x:c>
      <x:c r="H16" s="5" t="str">
        <x:f>'Production assets'!F15</x:f>
        <x:v>Not started</x:v>
      </x:c>
      <x:c r="I16" s="5" t="str">
        <x:v>Editable SVG + 1200 x 1000 WebP</x:v>
      </x:c>
      <x:c r="J16" s="5" t="str">
        <x:v>Generic star on gradient</x:v>
      </x:c>
      <x:c r="K16" s="5" t="str">
        <x:v>/brand/calendly/notetaker-hero.svg + star glyph</x:v>
      </x:c>
      <x:c r="L16" s="5" t="str">
        <x:v>227 x 189</x:v>
      </x:c>
      <x:c r="M16" s="5" t="str">
        <x:v>Navy, blue, blush, lavender</x:v>
      </x:c>
      <x:c r="N16" s="5" t="str">
        <x:v>Create once and reuse across related-product cards and the Platform card rail. Keep the gradient separate.</x:v>
      </x:c>
      <x:c r="O16" s="5" t="str">
        <x:v>http://localhost:3000/platform</x:v>
      </x:c>
    </x:row>
    <x:row r="17" ht="38" customHeight="1">
      <x:c r="A17" s="10" t="str">
        <x:v>P01-12</x:v>
      </x:c>
      <x:c r="B17" s="10" t="str">
        <x:v>Platform</x:v>
      </x:c>
      <x:c r="C17" s="10" t="str">
        <x:v>Related product thumbnail</x:v>
      </x:c>
      <x:c r="D17" s="10" t="str">
        <x:v>Agent OS</x:v>
      </x:c>
      <x:c r="E17" s="10" t="str">
        <x:v>A011</x:v>
      </x:c>
      <x:c r="F17" s="10" t="str">
        <x:v>A small orchestration graph connecting agents and shared memory.</x:v>
      </x:c>
      <x:c r="G17" s="10" t="str">
        <x:v>Create</x:v>
      </x:c>
      <x:c r="H17" s="10" t="str">
        <x:f>'Production assets'!F16</x:f>
        <x:v>Not started</x:v>
      </x:c>
      <x:c r="I17" s="10" t="str">
        <x:v>Editable SVG + 1200 x 1000 WebP</x:v>
      </x:c>
      <x:c r="J17" s="10" t="str">
        <x:v>Generic star on gradient</x:v>
      </x:c>
      <x:c r="K17" s="10" t="str">
        <x:v>/brand/calendly/contacts-hero.svg + star glyph</x:v>
      </x:c>
      <x:c r="L17" s="10" t="str">
        <x:v>227 x 189</x:v>
      </x:c>
      <x:c r="M17" s="10" t="str">
        <x:v>Cream, peach, pink, blue</x:v>
      </x:c>
      <x:c r="N17" s="10" t="str">
        <x:v>Create once and reuse across related-product cards and the Platform card rail. Keep the gradient separate.</x:v>
      </x:c>
      <x:c r="O17" s="10" t="str">
        <x:v>http://localhost:3000/platform</x:v>
      </x:c>
    </x:row>
    <x:row r="18" ht="38" customHeight="1">
      <x:c r="A18" s="5" t="str">
        <x:v>P01-13</x:v>
      </x:c>
      <x:c r="B18" s="5" t="str">
        <x:v>Platform</x:v>
      </x:c>
      <x:c r="C18" s="5" t="str">
        <x:v>Related product thumbnail</x:v>
      </x:c>
      <x:c r="D18" s="5" t="str">
        <x:v>AI Agents</x:v>
      </x:c>
      <x:c r="E18" s="5" t="str">
        <x:v>A012</x:v>
      </x:c>
      <x:c r="F18" s="5" t="str">
        <x:v>An agent task card with linked evidence and a proposed next action.</x:v>
      </x:c>
      <x:c r="G18" s="5" t="str">
        <x:v>Create</x:v>
      </x:c>
      <x:c r="H18" s="5" t="str">
        <x:f>'Production assets'!F17</x:f>
        <x:v>Not started</x:v>
      </x:c>
      <x:c r="I18" s="5" t="str">
        <x:v>Editable SVG + 1200 x 1000 WebP</x:v>
      </x:c>
      <x:c r="J18" s="5" t="str">
        <x:v>Generic star on gradient</x:v>
      </x:c>
      <x:c r="K18" s="5" t="str">
        <x:v>/brand/calendly/payments-hero.svg + star glyph</x:v>
      </x:c>
      <x:c r="L18" s="5" t="str">
        <x:v>227 x 189</x:v>
      </x:c>
      <x:c r="M18" s="5" t="str">
        <x:v>Pale mint, aqua, blue, navy</x:v>
      </x:c>
      <x:c r="N18" s="5" t="str">
        <x:v>Create once and reuse across related-product cards and the Platform card rail. Keep the gradient separate.</x:v>
      </x:c>
      <x:c r="O18" s="5" t="str">
        <x:v>http://localhost:3000/platform</x:v>
      </x:c>
    </x:row>
    <x:row r="19" ht="38" customHeight="1">
      <x:c r="A19" s="10" t="str">
        <x:v>P01-14</x:v>
      </x:c>
      <x:c r="B19" s="10" t="str">
        <x:v>Platform</x:v>
      </x:c>
      <x:c r="C19" s="10" t="str">
        <x:v>Related product thumbnail</x:v>
      </x:c>
      <x:c r="D19" s="10" t="str">
        <x:v>Agent Studio</x:v>
      </x:c>
      <x:c r="E19" s="10" t="str">
        <x:v>A013</x:v>
      </x:c>
      <x:c r="F19" s="10" t="str">
        <x:v>A miniature visual editor with configurable workflow nodes.</x:v>
      </x:c>
      <x:c r="G19" s="10" t="str">
        <x:v>Create</x:v>
      </x:c>
      <x:c r="H19" s="10" t="str">
        <x:f>'Production assets'!F18</x:f>
        <x:v>Not started</x:v>
      </x:c>
      <x:c r="I19" s="10" t="str">
        <x:v>Editable SVG + 1200 x 1000 WebP</x:v>
      </x:c>
      <x:c r="J19" s="10" t="str">
        <x:v>Generic star on gradient</x:v>
      </x:c>
      <x:c r="K19" s="10" t="str">
        <x:v>/brand/calendly/assistant-hero.svg + star glyph</x:v>
      </x:c>
      <x:c r="L19" s="10" t="str">
        <x:v>227 x 189</x:v>
      </x:c>
      <x:c r="M19" s="10" t="str">
        <x:v>Ice blue, white, teal, deep green</x:v>
      </x:c>
      <x:c r="N19" s="10" t="str">
        <x:v>Create once and reuse across related-product cards and the Platform card rail. Keep the gradient separate.</x:v>
      </x:c>
      <x:c r="O19" s="10" t="str">
        <x:v>http://localhost:3000/platform</x:v>
      </x:c>
    </x:row>
    <x:row r="20" ht="38" customHeight="1">
      <x:c r="A20" s="5" t="str">
        <x:v>P02-01</x:v>
      </x:c>
      <x:c r="B20" s="5" t="str">
        <x:v>Integrations</x:v>
      </x:c>
      <x:c r="C20" s="5" t="str">
        <x:v>Hero background</x:v>
      </x:c>
      <x:c r="D20" s="5" t="str">
        <x:v>Your tools. One connected workflow.</x:v>
      </x:c>
      <x:c r="E20" s="5" t="str">
        <x:v>A014</x:v>
      </x:c>
      <x:c r="F20" s="5" t="str">
        <x:v>Reuse the existing Paper SVG as a separate background layer. No new background required.</x:v>
      </x:c>
      <x:c r="G20" s="5" t="str">
        <x:v>Reuse</x:v>
      </x:c>
      <x:c r="H20" s="5" t="str">
        <x:f>'Production assets'!F19</x:f>
        <x:v>Existing</x:v>
      </x:c>
      <x:c r="I20" s="5" t="str">
        <x:v>Existing scalable SVG</x:v>
      </x:c>
      <x:c r="J20" s="5" t="str">
        <x:v>Existing background</x:v>
      </x:c>
      <x:c r="K20" s="5" t="str">
        <x:v>/brand/calendly/scheduling-hero.svg</x:v>
      </x:c>
      <x:c r="L20" s="5" t="str">
        <x:v>1387 x 776</x:v>
      </x:c>
      <x:c r="M20" s="5" t="str">
        <x:v>Sky blue, pale aqua, navy</x:v>
      </x:c>
      <x:c r="N20" s="5" t="str">
        <x:v>Shared by every page using this style.</x:v>
      </x:c>
      <x:c r="O20" s="5" t="str">
        <x:v>http://localhost:3000/integrations</x:v>
      </x:c>
    </x:row>
    <x:row r="21" ht="38" customHeight="1">
      <x:c r="A21" s="10" t="str">
        <x:v>P02-02</x:v>
      </x:c>
      <x:c r="B21" s="10" t="str">
        <x:v>Integrations</x:v>
      </x:c>
      <x:c r="C21" s="10" t="str">
        <x:v>Related product thumbnail</x:v>
      </x:c>
      <x:c r="D21" s="10" t="str">
        <x:v>Platform</x:v>
      </x:c>
      <x:c r="E21" s="10" t="str">
        <x:v>A015</x:v>
      </x:c>
      <x:c r="F21" s="10" t="str">
        <x:v>A compact workspace overview linking agents, tools and shared knowledge.</x:v>
      </x:c>
      <x:c r="G21" s="10" t="str">
        <x:v>Create</x:v>
      </x:c>
      <x:c r="H21" s="10" t="str">
        <x:f>'Production assets'!F20</x:f>
        <x:v>Not started</x:v>
      </x:c>
      <x:c r="I21" s="10" t="str">
        <x:v>Editable SVG + 1200 x 1000 WebP</x:v>
      </x:c>
      <x:c r="J21" s="10" t="str">
        <x:v>Generic star on gradient</x:v>
      </x:c>
      <x:c r="K21" s="10" t="str">
        <x:v>/brand/calendly/assistant-hero.svg + star glyph</x:v>
      </x:c>
      <x:c r="L21" s="10" t="str">
        <x:v>227 x 189</x:v>
      </x:c>
      <x:c r="M21" s="10" t="str">
        <x:v>Ice blue, white, teal, deep green</x:v>
      </x:c>
      <x:c r="N21" s="10" t="str">
        <x:v>Create once and reuse across related-product cards and the Platform card rail. Keep the gradient separate.</x:v>
      </x:c>
      <x:c r="O21" s="10" t="str">
        <x:v>http://localhost:3000/integrations</x:v>
      </x:c>
    </x:row>
    <x:row r="22" ht="38" customHeight="1">
      <x:c r="A22" s="5" t="str">
        <x:v>P02-03</x:v>
      </x:c>
      <x:c r="B22" s="5" t="str">
        <x:v>Integrations</x:v>
      </x:c>
      <x:c r="C22" s="5" t="str">
        <x:v>Related product thumbnail</x:v>
      </x:c>
      <x:c r="D22" s="5" t="str">
        <x:v>Agentic Workflows</x:v>
      </x:c>
      <x:c r="E22" s="5" t="str">
        <x:v>A010</x:v>
      </x:c>
      <x:c r="F22" s="5" t="str">
        <x:v>A compact workflow canvas with trigger, branch and action nodes.</x:v>
      </x:c>
      <x:c r="G22" s="5" t="str">
        <x:v>Create</x:v>
      </x:c>
      <x:c r="H22" s="5" t="str">
        <x:f>'Production assets'!F15</x:f>
        <x:v>Not started</x:v>
      </x:c>
      <x:c r="I22" s="5" t="str">
        <x:v>Editable SVG + 1200 x 1000 WebP</x:v>
      </x:c>
      <x:c r="J22" s="5" t="str">
        <x:v>Generic star on gradient</x:v>
      </x:c>
      <x:c r="K22" s="5" t="str">
        <x:v>/brand/calendly/notetaker-hero.svg + star glyph</x:v>
      </x:c>
      <x:c r="L22" s="5" t="str">
        <x:v>227 x 189</x:v>
      </x:c>
      <x:c r="M22" s="5" t="str">
        <x:v>Navy, blue, blush, lavender</x:v>
      </x:c>
      <x:c r="N22" s="5" t="str">
        <x:v>Create once and reuse across related-product cards and the Platform card rail. Keep the gradient separate.</x:v>
      </x:c>
      <x:c r="O22" s="5" t="str">
        <x:v>http://localhost:3000/integrations</x:v>
      </x:c>
    </x:row>
    <x:row r="23" ht="38" customHeight="1">
      <x:c r="A23" s="10" t="str">
        <x:v>P02-04</x:v>
      </x:c>
      <x:c r="B23" s="10" t="str">
        <x:v>Integrations</x:v>
      </x:c>
      <x:c r="C23" s="10" t="str">
        <x:v>Related product thumbnail</x:v>
      </x:c>
      <x:c r="D23" s="10" t="str">
        <x:v>Agent OS</x:v>
      </x:c>
      <x:c r="E23" s="10" t="str">
        <x:v>A011</x:v>
      </x:c>
      <x:c r="F23" s="10" t="str">
        <x:v>A small orchestration graph connecting agents and shared memory.</x:v>
      </x:c>
      <x:c r="G23" s="10" t="str">
        <x:v>Create</x:v>
      </x:c>
      <x:c r="H23" s="10" t="str">
        <x:f>'Production assets'!F16</x:f>
        <x:v>Not started</x:v>
      </x:c>
      <x:c r="I23" s="10" t="str">
        <x:v>Editable SVG + 1200 x 1000 WebP</x:v>
      </x:c>
      <x:c r="J23" s="10" t="str">
        <x:v>Generic star on gradient</x:v>
      </x:c>
      <x:c r="K23" s="10" t="str">
        <x:v>/brand/calendly/contacts-hero.svg + star glyph</x:v>
      </x:c>
      <x:c r="L23" s="10" t="str">
        <x:v>227 x 189</x:v>
      </x:c>
      <x:c r="M23" s="10" t="str">
        <x:v>Cream, peach, pink, blue</x:v>
      </x:c>
      <x:c r="N23" s="10" t="str">
        <x:v>Create once and reuse across related-product cards and the Platform card rail. Keep the gradient separate.</x:v>
      </x:c>
      <x:c r="O23" s="10" t="str">
        <x:v>http://localhost:3000/integrations</x:v>
      </x:c>
    </x:row>
    <x:row r="24" ht="38" customHeight="1">
      <x:c r="A24" s="5" t="str">
        <x:v>P02-05</x:v>
      </x:c>
      <x:c r="B24" s="5" t="str">
        <x:v>Integrations</x:v>
      </x:c>
      <x:c r="C24" s="5" t="str">
        <x:v>Related product thumbnail</x:v>
      </x:c>
      <x:c r="D24" s="5" t="str">
        <x:v>AI Agents</x:v>
      </x:c>
      <x:c r="E24" s="5" t="str">
        <x:v>A012</x:v>
      </x:c>
      <x:c r="F24" s="5" t="str">
        <x:v>An agent task card with linked evidence and a proposed next action.</x:v>
      </x:c>
      <x:c r="G24" s="5" t="str">
        <x:v>Create</x:v>
      </x:c>
      <x:c r="H24" s="5" t="str">
        <x:f>'Production assets'!F17</x:f>
        <x:v>Not started</x:v>
      </x:c>
      <x:c r="I24" s="5" t="str">
        <x:v>Editable SVG + 1200 x 1000 WebP</x:v>
      </x:c>
      <x:c r="J24" s="5" t="str">
        <x:v>Generic star on gradient</x:v>
      </x:c>
      <x:c r="K24" s="5" t="str">
        <x:v>/brand/calendly/payments-hero.svg + star glyph</x:v>
      </x:c>
      <x:c r="L24" s="5" t="str">
        <x:v>227 x 189</x:v>
      </x:c>
      <x:c r="M24" s="5" t="str">
        <x:v>Pale mint, aqua, blue, navy</x:v>
      </x:c>
      <x:c r="N24" s="5" t="str">
        <x:v>Create once and reuse across related-product cards and the Platform card rail. Keep the gradient separate.</x:v>
      </x:c>
      <x:c r="O24" s="5" t="str">
        <x:v>http://localhost:3000/integrations</x:v>
      </x:c>
    </x:row>
    <x:row r="25" ht="38" customHeight="1">
      <x:c r="A25" s="10" t="str">
        <x:v>P02-06</x:v>
      </x:c>
      <x:c r="B25" s="10" t="str">
        <x:v>Integrations</x:v>
      </x:c>
      <x:c r="C25" s="10" t="str">
        <x:v>Related product thumbnail</x:v>
      </x:c>
      <x:c r="D25" s="10" t="str">
        <x:v>Agent Studio</x:v>
      </x:c>
      <x:c r="E25" s="10" t="str">
        <x:v>A013</x:v>
      </x:c>
      <x:c r="F25" s="10" t="str">
        <x:v>A miniature visual editor with configurable workflow nodes.</x:v>
      </x:c>
      <x:c r="G25" s="10" t="str">
        <x:v>Create</x:v>
      </x:c>
      <x:c r="H25" s="10" t="str">
        <x:f>'Production assets'!F18</x:f>
        <x:v>Not started</x:v>
      </x:c>
      <x:c r="I25" s="10" t="str">
        <x:v>Editable SVG + 1200 x 1000 WebP</x:v>
      </x:c>
      <x:c r="J25" s="10" t="str">
        <x:v>Generic star on gradient</x:v>
      </x:c>
      <x:c r="K25" s="10" t="str">
        <x:v>/brand/calendly/assistant-hero.svg + star glyph</x:v>
      </x:c>
      <x:c r="L25" s="10" t="str">
        <x:v>227 x 189</x:v>
      </x:c>
      <x:c r="M25" s="10" t="str">
        <x:v>Ice blue, white, teal, deep green</x:v>
      </x:c>
      <x:c r="N25" s="10" t="str">
        <x:v>Create once and reuse across related-product cards and the Platform card rail. Keep the gradient separate.</x:v>
      </x:c>
      <x:c r="O25" s="10" t="str">
        <x:v>http://localhost:3000/integrations</x:v>
      </x:c>
    </x:row>
    <x:row r="26" ht="38" customHeight="1">
      <x:c r="A26" s="5" t="str">
        <x:v>P03-01</x:v>
      </x:c>
      <x:c r="B26" s="5" t="str">
        <x:v>Agentic Workflows</x:v>
      </x:c>
      <x:c r="C26" s="5" t="str">
        <x:v>Hero background</x:v>
      </x:c>
      <x:c r="D26" s="5" t="str">
        <x:v>Give recurring work a clear next step.</x:v>
      </x:c>
      <x:c r="E26" s="5" t="str">
        <x:v>A016</x:v>
      </x:c>
      <x:c r="F26" s="5" t="str">
        <x:v>Reuse the existing Paper SVG as a separate background layer. No new background required.</x:v>
      </x:c>
      <x:c r="G26" s="5" t="str">
        <x:v>Reuse</x:v>
      </x:c>
      <x:c r="H26" s="5" t="str">
        <x:f>'Production assets'!F21</x:f>
        <x:v>Existing</x:v>
      </x:c>
      <x:c r="I26" s="5" t="str">
        <x:v>Existing scalable SVG</x:v>
      </x:c>
      <x:c r="J26" s="5" t="str">
        <x:v>Existing background</x:v>
      </x:c>
      <x:c r="K26" s="5" t="str">
        <x:v>/brand/calendly/notetaker-hero.svg</x:v>
      </x:c>
      <x:c r="L26" s="5" t="str">
        <x:v>1387 x 776</x:v>
      </x:c>
      <x:c r="M26" s="5" t="str">
        <x:v>Navy, blue, blush, lavender</x:v>
      </x:c>
      <x:c r="N26" s="5" t="str">
        <x:v>Shared by every page using this style.</x:v>
      </x:c>
      <x:c r="O26" s="5" t="str">
        <x:v>http://localhost:3000/products/agentic-workflows</x:v>
      </x:c>
    </x:row>
    <x:row r="27" ht="51" customHeight="1">
      <x:c r="A27" s="10" t="str">
        <x:v>P03-02</x:v>
      </x:c>
      <x:c r="B27" s="10" t="str">
        <x:v>Agentic Workflows</x:v>
      </x:c>
      <x:c r="C27" s="10" t="str">
        <x:v>Capability overview</x:v>
      </x:c>
      <x:c r="D27" s="10" t="str">
        <x:v>Workflow Builder</x:v>
      </x:c>
      <x:c r="E27" s="10" t="str">
        <x:v>A017</x:v>
      </x:c>
      <x:c r="F27" s="10" t="str">
        <x:v>A floating workflow canvas with connected trigger, condition, action and review nodes.</x:v>
      </x:c>
      <x:c r="G27" s="10" t="str">
        <x:v>Rework</x:v>
      </x:c>
      <x:c r="H27" s="10" t="str">
        <x:f>'Production assets'!F22</x:f>
        <x:v>Not started</x:v>
      </x:c>
      <x:c r="I27" s="10" t="str">
        <x:v>Editable SVG/layers + 1200 x 1200 WebP</x:v>
      </x:c>
      <x:c r="J27" s="10" t="str">
        <x:v>Photo with layered UI</x:v>
      </x:c>
      <x:c r="K27" s="10" t="str">
        <x:v>/brand/feature-pages/workflows/workflows-01-workflow-builder.webp
/brand/feature-pages/artwork/157-5623.svg</x:v>
      </x:c>
      <x:c r="L27" s="10" t="str">
        <x:v>580 x 580</x:v>
      </x:c>
      <x:c r="M27" s="10" t="str">
        <x:v>Navy, blue, blush, lavender</x:v>
      </x:c>
      <x:c r="N27" s="10" t="str">
        <x:v>Preserve the existing CSS gradient. Export foreground separately with transparent background. Keep key UI within the central 80%. Reuses the first feature detail artwork.</x:v>
      </x:c>
      <x:c r="O27" s="10" t="str">
        <x:v>http://localhost:3000/products/agentic-workflows#workflow-builder</x:v>
      </x:c>
    </x:row>
    <x:row r="28" ht="38" customHeight="1">
      <x:c r="A28" s="5" t="str">
        <x:v>P03-03</x:v>
      </x:c>
      <x:c r="B28" s="5" t="str">
        <x:v>Agentic Workflows</x:v>
      </x:c>
      <x:c r="C28" s="5" t="str">
        <x:v>Product overview</x:v>
      </x:c>
      <x:c r="D28" s="5" t="str">
        <x:v>Build a clearer path through everyday processes.</x:v>
      </x:c>
      <x:c r="E28" s="5" t="str">
        <x:v>A018</x:v>
      </x:c>
      <x:c r="F28" s="5" t="str">
        <x:v>A wide workflow canvas showing a request, connected steps and a reviewable outcome.</x:v>
      </x:c>
      <x:c r="G28" s="5" t="str">
        <x:v>Rework</x:v>
      </x:c>
      <x:c r="H28" s="5" t="str">
        <x:f>'Production assets'!F23</x:f>
        <x:v>Not started</x:v>
      </x:c>
      <x:c r="I28" s="5" t="str">
        <x:v>Editable layers + 1920 x 620 WebP</x:v>
      </x:c>
      <x:c r="J28" s="5" t="str">
        <x:v>Existing overview photo</x:v>
      </x:c>
      <x:c r="K28" s="5" t="str">
        <x:v>/brand/feature-pages/workflows/workflows-hero.webp</x:v>
      </x:c>
      <x:c r="L28" s="5" t="str">
        <x:v>960 x 398</x:v>
      </x:c>
      <x:c r="M28" s="5" t="str">
        <x:v>Navy, blue, blush, lavender</x:v>
      </x:c>
      <x:c r="N28" s="5" t="str">
        <x:v>Replace the current overview photo with a product-led composition. Keep its wide framing.</x:v>
      </x:c>
      <x:c r="O28" s="5" t="str">
        <x:v>http://localhost:3000/products/agentic-workflows</x:v>
      </x:c>
    </x:row>
    <x:row r="29" ht="51" customHeight="1">
      <x:c r="A29" s="10" t="str">
        <x:v>P03-04</x:v>
      </x:c>
      <x:c r="B29" s="10" t="str">
        <x:v>Agentic Workflows</x:v>
      </x:c>
      <x:c r="C29" s="10" t="str">
        <x:v>Feature card</x:v>
      </x:c>
      <x:c r="D29" s="10" t="str">
        <x:v>Repeatable steps</x:v>
      </x:c>
      <x:c r="E29" s="10" t="str">
        <x:v>A019</x:v>
      </x:c>
      <x:c r="F29" s="10" t="str">
        <x:v>Three reusable workflow steps arranged as a small sequence with a repeat control.</x:v>
      </x:c>
      <x:c r="G29" s="10" t="str">
        <x:v>Create</x:v>
      </x:c>
      <x:c r="H29" s="10" t="str">
        <x:f>'Production assets'!F24</x:f>
        <x:v>Not started</x:v>
      </x:c>
      <x:c r="I29" s="10" t="str">
        <x:v>1200 x 1000 WebP crop of shared master</x:v>
      </x:c>
      <x:c r="J29" s="10" t="str">
        <x:v>Text placeholder</x:v>
      </x:c>
      <x:c r="K29" s="10" t="str">
        <x:v>CSS gradient + live UI</x:v>
      </x:c>
      <x:c r="L29" s="10" t="str">
        <x:v>320 x 267</x:v>
      </x:c>
      <x:c r="M29" s="10" t="str">
        <x:v>Navy, blue, blush, lavender</x:v>
      </x:c>
      <x:c r="N29" s="10" t="str">
        <x:v>Preserve the existing CSS gradient. Export foreground separately with transparent background. Keep key UI within the central 80%.</x:v>
      </x:c>
      <x:c r="O29" s="10" t="str">
        <x:v>http://localhost:3000/products/agentic-workflows</x:v>
      </x:c>
    </x:row>
    <x:row r="30" ht="51" customHeight="1">
      <x:c r="A30" s="5" t="str">
        <x:v>P03-05</x:v>
      </x:c>
      <x:c r="B30" s="5" t="str">
        <x:v>Agentic Workflows</x:v>
      </x:c>
      <x:c r="C30" s="5" t="str">
        <x:v>Feature card</x:v>
      </x:c>
      <x:c r="D30" s="5" t="str">
        <x:v>Shared understanding</x:v>
      </x:c>
      <x:c r="E30" s="5" t="str">
        <x:v>A020</x:v>
      </x:c>
      <x:c r="F30" s="5" t="str">
        <x:v>A shared workflow map with owner avatars and one clear handoff between teammates.</x:v>
      </x:c>
      <x:c r="G30" s="5" t="str">
        <x:v>Create</x:v>
      </x:c>
      <x:c r="H30" s="5" t="str">
        <x:f>'Production assets'!F25</x:f>
        <x:v>Not started</x:v>
      </x:c>
      <x:c r="I30" s="5" t="str">
        <x:v>1200 x 1000 WebP crop of shared master</x:v>
      </x:c>
      <x:c r="J30" s="5" t="str">
        <x:v>Text placeholder</x:v>
      </x:c>
      <x:c r="K30" s="5" t="str">
        <x:v>CSS gradient + live UI</x:v>
      </x:c>
      <x:c r="L30" s="5" t="str">
        <x:v>320 x 267</x:v>
      </x:c>
      <x:c r="M30" s="5" t="str">
        <x:v>Navy, blue, blush, lavender</x:v>
      </x:c>
      <x:c r="N30" s="5" t="str">
        <x:v>Preserve the existing CSS gradient. Export foreground separately with transparent background. Keep key UI within the central 80%.</x:v>
      </x:c>
      <x:c r="O30" s="5" t="str">
        <x:v>http://localhost:3000/products/agentic-workflows</x:v>
      </x:c>
    </x:row>
    <x:row r="31" ht="51" customHeight="1">
      <x:c r="A31" s="10" t="str">
        <x:v>P03-06</x:v>
      </x:c>
      <x:c r="B31" s="10" t="str">
        <x:v>Agentic Workflows</x:v>
      </x:c>
      <x:c r="C31" s="10" t="str">
        <x:v>Feature card</x:v>
      </x:c>
      <x:c r="D31" s="10" t="str">
        <x:v>Useful follow-up</x:v>
      </x:c>
      <x:c r="E31" s="10" t="str">
        <x:v>A021</x:v>
      </x:c>
      <x:c r="F31" s="10" t="str">
        <x:v>A completed run with its linked next action and assigned owner.</x:v>
      </x:c>
      <x:c r="G31" s="10" t="str">
        <x:v>Create</x:v>
      </x:c>
      <x:c r="H31" s="10" t="str">
        <x:f>'Production assets'!F26</x:f>
        <x:v>Not started</x:v>
      </x:c>
      <x:c r="I31" s="10" t="str">
        <x:v>1200 x 1000 WebP crop of shared master</x:v>
      </x:c>
      <x:c r="J31" s="10" t="str">
        <x:v>Text placeholder</x:v>
      </x:c>
      <x:c r="K31" s="10" t="str">
        <x:v>CSS gradient + live UI</x:v>
      </x:c>
      <x:c r="L31" s="10" t="str">
        <x:v>320 x 267</x:v>
      </x:c>
      <x:c r="M31" s="10" t="str">
        <x:v>Navy, blue, blush, lavender</x:v>
      </x:c>
      <x:c r="N31" s="10" t="str">
        <x:v>Preserve the existing CSS gradient. Export foreground separately with transparent background. Keep key UI within the central 80%.</x:v>
      </x:c>
      <x:c r="O31" s="10" t="str">
        <x:v>http://localhost:3000/products/agentic-workflows</x:v>
      </x:c>
    </x:row>
    <x:row r="32" ht="51" customHeight="1">
      <x:c r="A32" s="5" t="str">
        <x:v>P03-07</x:v>
      </x:c>
      <x:c r="B32" s="5" t="str">
        <x:v>Agentic Workflows</x:v>
      </x:c>
      <x:c r="C32" s="5" t="str">
        <x:v>Feature detail</x:v>
      </x:c>
      <x:c r="D32" s="5" t="str">
        <x:v>Map the steps that move work forward.</x:v>
      </x:c>
      <x:c r="E32" s="5" t="str">
        <x:v>A017</x:v>
      </x:c>
      <x:c r="F32" s="5" t="str">
        <x:v>A floating workflow canvas with connected trigger, condition, action and review nodes.</x:v>
      </x:c>
      <x:c r="G32" s="5" t="str">
        <x:v>Rework</x:v>
      </x:c>
      <x:c r="H32" s="5" t="str">
        <x:f>'Production assets'!F22</x:f>
        <x:v>Not started</x:v>
      </x:c>
      <x:c r="I32" s="5" t="str">
        <x:v>Editable SVG/layers + 1200 x 1200 WebP</x:v>
      </x:c>
      <x:c r="J32" s="5" t="str">
        <x:v>Photo with layered UI</x:v>
      </x:c>
      <x:c r="K32" s="5" t="str">
        <x:v>/brand/feature-pages/workflows/workflows-01-workflow-builder.webp
/brand/feature-pages/artwork/157-5623.svg</x:v>
      </x:c>
      <x:c r="L32" s="5" t="str">
        <x:v>580 x 580</x:v>
      </x:c>
      <x:c r="M32" s="5" t="str">
        <x:v>Navy, blue, blush, lavender</x:v>
      </x:c>
      <x:c r="N32" s="5" t="str">
        <x:v>Preserve the existing CSS gradient. Export foreground separately with transparent background. Keep key UI within the central 80%.</x:v>
      </x:c>
      <x:c r="O32" s="5" t="str">
        <x:v>http://localhost:3000/products/agentic-workflows#workflow-builder</x:v>
      </x:c>
    </x:row>
    <x:row r="33" ht="51" customHeight="1">
      <x:c r="A33" s="10" t="str">
        <x:v>P03-08</x:v>
      </x:c>
      <x:c r="B33" s="10" t="str">
        <x:v>Agentic Workflows</x:v>
      </x:c>
      <x:c r="C33" s="10" t="str">
        <x:v>Feature detail</x:v>
      </x:c>
      <x:c r="D33" s="10" t="str">
        <x:v>Make the starting point clear.</x:v>
      </x:c>
      <x:c r="E33" s="10" t="str">
        <x:v>A022</x:v>
      </x:c>
      <x:c r="F33" s="10" t="str">
        <x:v>A trigger setup panel next to a branching condition, showing the rule that starts each path.</x:v>
      </x:c>
      <x:c r="G33" s="10" t="str">
        <x:v>Rework</x:v>
      </x:c>
      <x:c r="H33" s="10" t="str">
        <x:f>'Production assets'!F27</x:f>
        <x:v>Not started</x:v>
      </x:c>
      <x:c r="I33" s="10" t="str">
        <x:v>Editable SVG/layers + 1200 x 1200 WebP</x:v>
      </x:c>
      <x:c r="J33" s="10" t="str">
        <x:v>Photo with layered UI</x:v>
      </x:c>
      <x:c r="K33" s="10" t="str">
        <x:v>/brand/feature-pages/workflows/workflows-02-triggers-and-conditions.webp
/brand/feature-pages/artwork/157-5660-figma.svg</x:v>
      </x:c>
      <x:c r="L33" s="10" t="str">
        <x:v>532 x 532</x:v>
      </x:c>
      <x:c r="M33" s="10" t="str">
        <x:v>Navy, blue, blush, lavender</x:v>
      </x:c>
      <x:c r="N33" s="10" t="str">
        <x:v>Preserve the existing CSS gradient. Export foreground separately with transparent background. Keep key UI within the central 80%.</x:v>
      </x:c>
      <x:c r="O33" s="10" t="str">
        <x:v>http://localhost:3000/products/agentic-workflows#triggers-and-conditions</x:v>
      </x:c>
    </x:row>
    <x:row r="34" ht="51" customHeight="1">
      <x:c r="A34" s="5" t="str">
        <x:v>P03-09</x:v>
      </x:c>
      <x:c r="B34" s="5" t="str">
        <x:v>Agentic Workflows</x:v>
      </x:c>
      <x:c r="C34" s="5" t="str">
        <x:v>Feature detail</x:v>
      </x:c>
      <x:c r="D34" s="5" t="str">
        <x:v>Keep workflow activity in view.</x:v>
      </x:c>
      <x:c r="E34" s="5" t="str">
        <x:v>A023</x:v>
      </x:c>
      <x:c r="F34" s="5" t="str">
        <x:v>An activity dashboard with recent workflow runs, current steps and an exception awaiting review.</x:v>
      </x:c>
      <x:c r="G34" s="5" t="str">
        <x:v>Rework</x:v>
      </x:c>
      <x:c r="H34" s="5" t="str">
        <x:f>'Production assets'!F28</x:f>
        <x:v>Not started</x:v>
      </x:c>
      <x:c r="I34" s="5" t="str">
        <x:v>Editable SVG/layers + 1200 x 1200 WebP</x:v>
      </x:c>
      <x:c r="J34" s="5" t="str">
        <x:v>Photo with layered UI</x:v>
      </x:c>
      <x:c r="K34" s="5" t="str">
        <x:v>/brand/feature-pages/workflows/workflows-03-activity-overview.webp
/brand/feature-pages/artwork/157-5715.svg</x:v>
      </x:c>
      <x:c r="L34" s="5" t="str">
        <x:v>580 x 580</x:v>
      </x:c>
      <x:c r="M34" s="5" t="str">
        <x:v>Navy, blue, blush, lavender</x:v>
      </x:c>
      <x:c r="N34" s="5" t="str">
        <x:v>Preserve the existing CSS gradient. Export foreground separately with transparent background. Keep key UI within the central 80%.</x:v>
      </x:c>
      <x:c r="O34" s="5" t="str">
        <x:v>http://localhost:3000/products/agentic-workflows#activity-overview</x:v>
      </x:c>
    </x:row>
    <x:row r="35" ht="51" customHeight="1">
      <x:c r="A35" s="10" t="str">
        <x:v>P03-10</x:v>
      </x:c>
      <x:c r="B35" s="10" t="str">
        <x:v>Agentic Workflows</x:v>
      </x:c>
      <x:c r="C35" s="10" t="str">
        <x:v>Feature detail</x:v>
      </x:c>
      <x:c r="D35" s="10" t="str">
        <x:v>Follow the steps behind the status.</x:v>
      </x:c>
      <x:c r="E35" s="10" t="str">
        <x:v>A024</x:v>
      </x:c>
      <x:c r="F35" s="10" t="str">
        <x:v>A run-history timeline with an expanded execution and its ordered steps.</x:v>
      </x:c>
      <x:c r="G35" s="10" t="str">
        <x:v>Rework</x:v>
      </x:c>
      <x:c r="H35" s="10" t="str">
        <x:f>'Production assets'!F29</x:f>
        <x:v>Not started</x:v>
      </x:c>
      <x:c r="I35" s="10" t="str">
        <x:v>Editable SVG/layers + 1200 x 1200 WebP</x:v>
      </x:c>
      <x:c r="J35" s="10" t="str">
        <x:v>Photo with layered UI</x:v>
      </x:c>
      <x:c r="K35" s="10" t="str">
        <x:v>/brand/feature-pages/workflows/workflows-04-workflow-history.webp
/brand/feature-pages/artwork/157-5744-figma.svg</x:v>
      </x:c>
      <x:c r="L35" s="10" t="str">
        <x:v>532 x 532</x:v>
      </x:c>
      <x:c r="M35" s="10" t="str">
        <x:v>Navy, blue, blush, lavender</x:v>
      </x:c>
      <x:c r="N35" s="10" t="str">
        <x:v>Preserve the existing CSS gradient. Export foreground separately with transparent background. Keep key UI within the central 80%.</x:v>
      </x:c>
      <x:c r="O35" s="10" t="str">
        <x:v>http://localhost:3000/products/agentic-workflows#workflow-history</x:v>
      </x:c>
    </x:row>
    <x:row r="36" ht="38" customHeight="1">
      <x:c r="A36" s="5" t="str">
        <x:v>P03-11</x:v>
      </x:c>
      <x:c r="B36" s="5" t="str">
        <x:v>Agentic Workflows</x:v>
      </x:c>
      <x:c r="C36" s="5" t="str">
        <x:v>Related product thumbnail</x:v>
      </x:c>
      <x:c r="D36" s="5" t="str">
        <x:v>Platform</x:v>
      </x:c>
      <x:c r="E36" s="5" t="str">
        <x:v>A015</x:v>
      </x:c>
      <x:c r="F36" s="5" t="str">
        <x:v>A compact workspace overview linking agents, tools and shared knowledge.</x:v>
      </x:c>
      <x:c r="G36" s="5" t="str">
        <x:v>Create</x:v>
      </x:c>
      <x:c r="H36" s="5" t="str">
        <x:f>'Production assets'!F20</x:f>
        <x:v>Not started</x:v>
      </x:c>
      <x:c r="I36" s="5" t="str">
        <x:v>Editable SVG + 1200 x 1000 WebP</x:v>
      </x:c>
      <x:c r="J36" s="5" t="str">
        <x:v>Generic star on gradient</x:v>
      </x:c>
      <x:c r="K36" s="5" t="str">
        <x:v>/brand/calendly/assistant-hero.svg + star glyph</x:v>
      </x:c>
      <x:c r="L36" s="5" t="str">
        <x:v>227 x 189</x:v>
      </x:c>
      <x:c r="M36" s="5" t="str">
        <x:v>Ice blue, white, teal, deep green</x:v>
      </x:c>
      <x:c r="N36" s="5" t="str">
        <x:v>Create once and reuse across related-product cards and the Platform card rail. Keep the gradient separate.</x:v>
      </x:c>
      <x:c r="O36" s="5" t="str">
        <x:v>http://localhost:3000/products/agentic-workflows</x:v>
      </x:c>
    </x:row>
    <x:row r="37" ht="38" customHeight="1">
      <x:c r="A37" s="10" t="str">
        <x:v>P03-12</x:v>
      </x:c>
      <x:c r="B37" s="10" t="str">
        <x:v>Agentic Workflows</x:v>
      </x:c>
      <x:c r="C37" s="10" t="str">
        <x:v>Related product thumbnail</x:v>
      </x:c>
      <x:c r="D37" s="10" t="str">
        <x:v>Integrations</x:v>
      </x:c>
      <x:c r="E37" s="10" t="str">
        <x:v>A006</x:v>
      </x:c>
      <x:c r="F37" s="10" t="str">
        <x:v>A central Innflow node connected to a small set of tool tiles.</x:v>
      </x:c>
      <x:c r="G37" s="10" t="str">
        <x:v>Create</x:v>
      </x:c>
      <x:c r="H37" s="10" t="str">
        <x:f>'Production assets'!F11</x:f>
        <x:v>Not started</x:v>
      </x:c>
      <x:c r="I37" s="10" t="str">
        <x:v>Editable SVG + 1200 x 1000 WebP</x:v>
      </x:c>
      <x:c r="J37" s="10" t="str">
        <x:v>Generic star on gradient</x:v>
      </x:c>
      <x:c r="K37" s="10" t="str">
        <x:v>/brand/calendly/scheduling-hero.svg + star glyph</x:v>
      </x:c>
      <x:c r="L37" s="10" t="str">
        <x:v>227 x 189</x:v>
      </x:c>
      <x:c r="M37" s="10" t="str">
        <x:v>Sky blue, pale aqua, navy</x:v>
      </x:c>
      <x:c r="N37" s="10" t="str">
        <x:v>Create once and reuse across related-product cards and the Platform card rail. Keep the gradient separate.</x:v>
      </x:c>
      <x:c r="O37" s="10" t="str">
        <x:v>http://localhost:3000/products/agentic-workflows</x:v>
      </x:c>
    </x:row>
    <x:row r="38" ht="38" customHeight="1">
      <x:c r="A38" s="5" t="str">
        <x:v>P03-13</x:v>
      </x:c>
      <x:c r="B38" s="5" t="str">
        <x:v>Agentic Workflows</x:v>
      </x:c>
      <x:c r="C38" s="5" t="str">
        <x:v>Related product thumbnail</x:v>
      </x:c>
      <x:c r="D38" s="5" t="str">
        <x:v>Agent OS</x:v>
      </x:c>
      <x:c r="E38" s="5" t="str">
        <x:v>A011</x:v>
      </x:c>
      <x:c r="F38" s="5" t="str">
        <x:v>A small orchestration graph connecting agents and shared memory.</x:v>
      </x:c>
      <x:c r="G38" s="5" t="str">
        <x:v>Create</x:v>
      </x:c>
      <x:c r="H38" s="5" t="str">
        <x:f>'Production assets'!F16</x:f>
        <x:v>Not started</x:v>
      </x:c>
      <x:c r="I38" s="5" t="str">
        <x:v>Editable SVG + 1200 x 1000 WebP</x:v>
      </x:c>
      <x:c r="J38" s="5" t="str">
        <x:v>Generic star on gradient</x:v>
      </x:c>
      <x:c r="K38" s="5" t="str">
        <x:v>/brand/calendly/contacts-hero.svg + star glyph</x:v>
      </x:c>
      <x:c r="L38" s="5" t="str">
        <x:v>227 x 189</x:v>
      </x:c>
      <x:c r="M38" s="5" t="str">
        <x:v>Cream, peach, pink, blue</x:v>
      </x:c>
      <x:c r="N38" s="5" t="str">
        <x:v>Create once and reuse across related-product cards and the Platform card rail. Keep the gradient separate.</x:v>
      </x:c>
      <x:c r="O38" s="5" t="str">
        <x:v>http://localhost:3000/products/agentic-workflows</x:v>
      </x:c>
    </x:row>
    <x:row r="39" ht="38" customHeight="1">
      <x:c r="A39" s="10" t="str">
        <x:v>P03-14</x:v>
      </x:c>
      <x:c r="B39" s="10" t="str">
        <x:v>Agentic Workflows</x:v>
      </x:c>
      <x:c r="C39" s="10" t="str">
        <x:v>Related product thumbnail</x:v>
      </x:c>
      <x:c r="D39" s="10" t="str">
        <x:v>AI Agents</x:v>
      </x:c>
      <x:c r="E39" s="10" t="str">
        <x:v>A012</x:v>
      </x:c>
      <x:c r="F39" s="10" t="str">
        <x:v>An agent task card with linked evidence and a proposed next action.</x:v>
      </x:c>
      <x:c r="G39" s="10" t="str">
        <x:v>Create</x:v>
      </x:c>
      <x:c r="H39" s="10" t="str">
        <x:f>'Production assets'!F17</x:f>
        <x:v>Not started</x:v>
      </x:c>
      <x:c r="I39" s="10" t="str">
        <x:v>Editable SVG + 1200 x 1000 WebP</x:v>
      </x:c>
      <x:c r="J39" s="10" t="str">
        <x:v>Generic star on gradient</x:v>
      </x:c>
      <x:c r="K39" s="10" t="str">
        <x:v>/brand/calendly/payments-hero.svg + star glyph</x:v>
      </x:c>
      <x:c r="L39" s="10" t="str">
        <x:v>227 x 189</x:v>
      </x:c>
      <x:c r="M39" s="10" t="str">
        <x:v>Pale mint, aqua, blue, navy</x:v>
      </x:c>
      <x:c r="N39" s="10" t="str">
        <x:v>Create once and reuse across related-product cards and the Platform card rail. Keep the gradient separate.</x:v>
      </x:c>
      <x:c r="O39" s="10" t="str">
        <x:v>http://localhost:3000/products/agentic-workflows</x:v>
      </x:c>
    </x:row>
    <x:row r="40" ht="38" customHeight="1">
      <x:c r="A40" s="5" t="str">
        <x:v>P03-15</x:v>
      </x:c>
      <x:c r="B40" s="5" t="str">
        <x:v>Agentic Workflows</x:v>
      </x:c>
      <x:c r="C40" s="5" t="str">
        <x:v>Related product thumbnail</x:v>
      </x:c>
      <x:c r="D40" s="5" t="str">
        <x:v>Agent Studio</x:v>
      </x:c>
      <x:c r="E40" s="5" t="str">
        <x:v>A013</x:v>
      </x:c>
      <x:c r="F40" s="5" t="str">
        <x:v>A miniature visual editor with configurable workflow nodes.</x:v>
      </x:c>
      <x:c r="G40" s="5" t="str">
        <x:v>Create</x:v>
      </x:c>
      <x:c r="H40" s="5" t="str">
        <x:f>'Production assets'!F18</x:f>
        <x:v>Not started</x:v>
      </x:c>
      <x:c r="I40" s="5" t="str">
        <x:v>Editable SVG + 1200 x 1000 WebP</x:v>
      </x:c>
      <x:c r="J40" s="5" t="str">
        <x:v>Generic star on gradient</x:v>
      </x:c>
      <x:c r="K40" s="5" t="str">
        <x:v>/brand/calendly/assistant-hero.svg + star glyph</x:v>
      </x:c>
      <x:c r="L40" s="5" t="str">
        <x:v>227 x 189</x:v>
      </x:c>
      <x:c r="M40" s="5" t="str">
        <x:v>Ice blue, white, teal, deep green</x:v>
      </x:c>
      <x:c r="N40" s="5" t="str">
        <x:v>Create once and reuse across related-product cards and the Platform card rail. Keep the gradient separate.</x:v>
      </x:c>
      <x:c r="O40" s="5" t="str">
        <x:v>http://localhost:3000/products/agentic-workflows</x:v>
      </x:c>
    </x:row>
    <x:row r="41" ht="38" customHeight="1">
      <x:c r="A41" s="10" t="str">
        <x:v>P04-01</x:v>
      </x:c>
      <x:c r="B41" s="10" t="str">
        <x:v>Agent OS</x:v>
      </x:c>
      <x:c r="C41" s="10" t="str">
        <x:v>Hero background</x:v>
      </x:c>
      <x:c r="D41" s="10" t="str">
        <x:v>Give your agents a clear path to follow.</x:v>
      </x:c>
      <x:c r="E41" s="10" t="str">
        <x:v>A025</x:v>
      </x:c>
      <x:c r="F41" s="10" t="str">
        <x:v>Reuse the existing Paper SVG as a separate background layer. No new background required.</x:v>
      </x:c>
      <x:c r="G41" s="10" t="str">
        <x:v>Reuse</x:v>
      </x:c>
      <x:c r="H41" s="10" t="str">
        <x:f>'Production assets'!F30</x:f>
        <x:v>Existing</x:v>
      </x:c>
      <x:c r="I41" s="10" t="str">
        <x:v>Existing scalable SVG</x:v>
      </x:c>
      <x:c r="J41" s="10" t="str">
        <x:v>Existing background</x:v>
      </x:c>
      <x:c r="K41" s="10" t="str">
        <x:v>/brand/calendly/contacts-hero.svg</x:v>
      </x:c>
      <x:c r="L41" s="10" t="str">
        <x:v>1387 x 776</x:v>
      </x:c>
      <x:c r="M41" s="10" t="str">
        <x:v>Cream, peach, pink, blue</x:v>
      </x:c>
      <x:c r="N41" s="10" t="str">
        <x:v>Shared by every page using this style.</x:v>
      </x:c>
      <x:c r="O41" s="10" t="str">
        <x:v>http://localhost:3000/products/agent-os</x:v>
      </x:c>
    </x:row>
    <x:row r="42" ht="51" customHeight="1">
      <x:c r="A42" s="5" t="str">
        <x:v>P04-02</x:v>
      </x:c>
      <x:c r="B42" s="5" t="str">
        <x:v>Agent OS</x:v>
      </x:c>
      <x:c r="C42" s="5" t="str">
        <x:v>Capability overview</x:v>
      </x:c>
      <x:c r="D42" s="5" t="str">
        <x:v>Graph-based execution</x:v>
      </x:c>
      <x:c r="E42" s="5" t="str">
        <x:v>A026</x:v>
      </x:c>
      <x:c r="F42" s="5" t="str">
        <x:v>A branching agent graph with one highlighted route from request to reviewed output.</x:v>
      </x:c>
      <x:c r="G42" s="5" t="str">
        <x:v>Create</x:v>
      </x:c>
      <x:c r="H42" s="5" t="str">
        <x:f>'Production assets'!F31</x:f>
        <x:v>Not started</x:v>
      </x:c>
      <x:c r="I42" s="5" t="str">
        <x:v>Editable SVG/layers + 1200 x 1200 WebP</x:v>
      </x:c>
      <x:c r="J42" s="5" t="str">
        <x:v>Generic workflow illustration</x:v>
      </x:c>
      <x:c r="K42" s="5" t="str">
        <x:v>CSS gradient + live UI</x:v>
      </x:c>
      <x:c r="L42" s="5" t="str">
        <x:v>580 x 580</x:v>
      </x:c>
      <x:c r="M42" s="5" t="str">
        <x:v>Cream, peach, pink, blue</x:v>
      </x:c>
      <x:c r="N42" s="5" t="str">
        <x:v>Preserve the existing CSS gradient. Export foreground separately with transparent background. Keep key UI within the central 80%. Reuses the first feature detail artwork.</x:v>
      </x:c>
      <x:c r="O42" s="5" t="str">
        <x:v>http://localhost:3000/products/agent-os#graph-based-execution</x:v>
      </x:c>
    </x:row>
    <x:row r="43" ht="51" customHeight="1">
      <x:c r="A43" s="10" t="str">
        <x:v>P04-03</x:v>
      </x:c>
      <x:c r="B43" s="10" t="str">
        <x:v>Agent OS</x:v>
      </x:c>
      <x:c r="C43" s="10" t="str">
        <x:v>Feature card</x:v>
      </x:c>
      <x:c r="D43" s="10" t="str">
        <x:v>See how the steps fit together.</x:v>
      </x:c>
      <x:c r="E43" s="10" t="str">
        <x:v>A026</x:v>
      </x:c>
      <x:c r="F43" s="10" t="str">
        <x:v>A branching agent graph with one highlighted route from request to reviewed output.</x:v>
      </x:c>
      <x:c r="G43" s="10" t="str">
        <x:v>Create</x:v>
      </x:c>
      <x:c r="H43" s="10" t="str">
        <x:f>'Production assets'!F31</x:f>
        <x:v>Not started</x:v>
      </x:c>
      <x:c r="I43" s="10" t="str">
        <x:v>1200 x 1000 WebP crop of shared master</x:v>
      </x:c>
      <x:c r="J43" s="10" t="str">
        <x:v>Generic workflow illustration</x:v>
      </x:c>
      <x:c r="K43" s="10" t="str">
        <x:v>CSS gradient + live UI</x:v>
      </x:c>
      <x:c r="L43" s="10" t="str">
        <x:v>320 x 267</x:v>
      </x:c>
      <x:c r="M43" s="10" t="str">
        <x:v>Cream, peach, pink, blue</x:v>
      </x:c>
      <x:c r="N43" s="10" t="str">
        <x:v>Preserve the existing CSS gradient. Export foreground separately with transparent background. Keep key UI within the central 80%.</x:v>
      </x:c>
      <x:c r="O43" s="10" t="str">
        <x:v>http://localhost:3000/products/agent-os</x:v>
      </x:c>
    </x:row>
    <x:row r="44" ht="51" customHeight="1">
      <x:c r="A44" s="5" t="str">
        <x:v>P04-04</x:v>
      </x:c>
      <x:c r="B44" s="5" t="str">
        <x:v>Agent OS</x:v>
      </x:c>
      <x:c r="C44" s="5" t="str">
        <x:v>Feature card</x:v>
      </x:c>
      <x:c r="D44" s="5" t="str">
        <x:v>Build once. Use it again.</x:v>
      </x:c>
      <x:c r="E44" s="5" t="str">
        <x:v>A027</x:v>
      </x:c>
      <x:c r="F44" s="5" t="str">
        <x:v>Reusable skill, tool and trigger blocks snapping into a single workflow.</x:v>
      </x:c>
      <x:c r="G44" s="5" t="str">
        <x:v>Create</x:v>
      </x:c>
      <x:c r="H44" s="5" t="str">
        <x:f>'Production assets'!F32</x:f>
        <x:v>Not started</x:v>
      </x:c>
      <x:c r="I44" s="5" t="str">
        <x:v>1200 x 1000 WebP crop of shared master</x:v>
      </x:c>
      <x:c r="J44" s="5" t="str">
        <x:v>Generic workflow illustration</x:v>
      </x:c>
      <x:c r="K44" s="5" t="str">
        <x:v>CSS gradient + live UI</x:v>
      </x:c>
      <x:c r="L44" s="5" t="str">
        <x:v>320 x 267</x:v>
      </x:c>
      <x:c r="M44" s="5" t="str">
        <x:v>Cream, peach, pink, blue</x:v>
      </x:c>
      <x:c r="N44" s="5" t="str">
        <x:v>Preserve the existing CSS gradient. Export foreground separately with transparent background. Keep key UI within the central 80%.</x:v>
      </x:c>
      <x:c r="O44" s="5" t="str">
        <x:v>http://localhost:3000/products/agent-os</x:v>
      </x:c>
    </x:row>
    <x:row r="45" ht="51" customHeight="1">
      <x:c r="A45" s="10" t="str">
        <x:v>P04-05</x:v>
      </x:c>
      <x:c r="B45" s="10" t="str">
        <x:v>Agent OS</x:v>
      </x:c>
      <x:c r="C45" s="10" t="str">
        <x:v>Feature card</x:v>
      </x:c>
      <x:c r="D45" s="10" t="str">
        <x:v>Give each agent a clear role.</x:v>
      </x:c>
      <x:c r="E45" s="10" t="str">
        <x:v>A028</x:v>
      </x:c>
      <x:c r="F45" s="10" t="str">
        <x:v>Three agent role cards passing one shared task and its context between them.</x:v>
      </x:c>
      <x:c r="G45" s="10" t="str">
        <x:v>Create</x:v>
      </x:c>
      <x:c r="H45" s="10" t="str">
        <x:f>'Production assets'!F33</x:f>
        <x:v>Not started</x:v>
      </x:c>
      <x:c r="I45" s="10" t="str">
        <x:v>1200 x 1000 WebP crop of shared master</x:v>
      </x:c>
      <x:c r="J45" s="10" t="str">
        <x:v>Generic workflow illustration</x:v>
      </x:c>
      <x:c r="K45" s="10" t="str">
        <x:v>CSS gradient + live UI</x:v>
      </x:c>
      <x:c r="L45" s="10" t="str">
        <x:v>320 x 267</x:v>
      </x:c>
      <x:c r="M45" s="10" t="str">
        <x:v>Cream, peach, pink, blue</x:v>
      </x:c>
      <x:c r="N45" s="10" t="str">
        <x:v>Preserve the existing CSS gradient. Export foreground separately with transparent background. Keep key UI within the central 80%.</x:v>
      </x:c>
      <x:c r="O45" s="10" t="str">
        <x:v>http://localhost:3000/products/agent-os</x:v>
      </x:c>
    </x:row>
    <x:row r="46" ht="51" customHeight="1">
      <x:c r="A46" s="5" t="str">
        <x:v>P04-06</x:v>
      </x:c>
      <x:c r="B46" s="5" t="str">
        <x:v>Agent OS</x:v>
      </x:c>
      <x:c r="C46" s="5" t="str">
        <x:v>Feature card</x:v>
      </x:c>
      <x:c r="D46" s="5" t="str">
        <x:v>Make the next run better.</x:v>
      </x:c>
      <x:c r="E46" s="5" t="str">
        <x:v>A029</x:v>
      </x:c>
      <x:c r="F46" s="5" t="str">
        <x:v>A run review panel showing a correction beside a revised workflow step.</x:v>
      </x:c>
      <x:c r="G46" s="5" t="str">
        <x:v>Create</x:v>
      </x:c>
      <x:c r="H46" s="5" t="str">
        <x:f>'Production assets'!F34</x:f>
        <x:v>Not started</x:v>
      </x:c>
      <x:c r="I46" s="5" t="str">
        <x:v>1200 x 1000 WebP crop of shared master</x:v>
      </x:c>
      <x:c r="J46" s="5" t="str">
        <x:v>Generic workflow illustration</x:v>
      </x:c>
      <x:c r="K46" s="5" t="str">
        <x:v>CSS gradient + live UI</x:v>
      </x:c>
      <x:c r="L46" s="5" t="str">
        <x:v>320 x 267</x:v>
      </x:c>
      <x:c r="M46" s="5" t="str">
        <x:v>Cream, peach, pink, blue</x:v>
      </x:c>
      <x:c r="N46" s="5" t="str">
        <x:v>Preserve the existing CSS gradient. Export foreground separately with transparent background. Keep key UI within the central 80%.</x:v>
      </x:c>
      <x:c r="O46" s="5" t="str">
        <x:v>http://localhost:3000/products/agent-os</x:v>
      </x:c>
    </x:row>
    <x:row r="47" ht="51" customHeight="1">
      <x:c r="A47" s="10" t="str">
        <x:v>P04-07</x:v>
      </x:c>
      <x:c r="B47" s="10" t="str">
        <x:v>Agent OS</x:v>
      </x:c>
      <x:c r="C47" s="10" t="str">
        <x:v>Feature card</x:v>
      </x:c>
      <x:c r="D47" s="10" t="str">
        <x:v>Define a good result.</x:v>
      </x:c>
      <x:c r="E47" s="10" t="str">
        <x:v>A030</x:v>
      </x:c>
      <x:c r="F47" s="10" t="str">
        <x:v>A result checklist comparing expected and actual outputs, with one item needing review.</x:v>
      </x:c>
      <x:c r="G47" s="10" t="str">
        <x:v>Create</x:v>
      </x:c>
      <x:c r="H47" s="10" t="str">
        <x:f>'Production assets'!F35</x:f>
        <x:v>Not started</x:v>
      </x:c>
      <x:c r="I47" s="10" t="str">
        <x:v>1200 x 1000 WebP crop of shared master</x:v>
      </x:c>
      <x:c r="J47" s="10" t="str">
        <x:v>Generic workflow illustration</x:v>
      </x:c>
      <x:c r="K47" s="10" t="str">
        <x:v>CSS gradient + live UI</x:v>
      </x:c>
      <x:c r="L47" s="10" t="str">
        <x:v>320 x 267</x:v>
      </x:c>
      <x:c r="M47" s="10" t="str">
        <x:v>Cream, peach, pink, blue</x:v>
      </x:c>
      <x:c r="N47" s="10" t="str">
        <x:v>Preserve the existing CSS gradient. Export foreground separately with transparent background. Keep key UI within the central 80%.</x:v>
      </x:c>
      <x:c r="O47" s="10" t="str">
        <x:v>http://localhost:3000/products/agent-os</x:v>
      </x:c>
    </x:row>
    <x:row r="48" ht="51" customHeight="1">
      <x:c r="A48" s="5" t="str">
        <x:v>P04-08</x:v>
      </x:c>
      <x:c r="B48" s="5" t="str">
        <x:v>Agent OS</x:v>
      </x:c>
      <x:c r="C48" s="5" t="str">
        <x:v>Feature card</x:v>
      </x:c>
      <x:c r="D48" s="5" t="str">
        <x:v>Keep people in the decisions.</x:v>
      </x:c>
      <x:c r="E48" s="5" t="str">
        <x:v>A031</x:v>
      </x:c>
      <x:c r="F48" s="5" t="str">
        <x:v>An approval inbox with a proposed action, supporting context and approve or revise controls.</x:v>
      </x:c>
      <x:c r="G48" s="5" t="str">
        <x:v>Create</x:v>
      </x:c>
      <x:c r="H48" s="5" t="str">
        <x:f>'Production assets'!F36</x:f>
        <x:v>Not started</x:v>
      </x:c>
      <x:c r="I48" s="5" t="str">
        <x:v>1200 x 1000 WebP crop of shared master</x:v>
      </x:c>
      <x:c r="J48" s="5" t="str">
        <x:v>Generic workflow illustration</x:v>
      </x:c>
      <x:c r="K48" s="5" t="str">
        <x:v>CSS gradient + live UI</x:v>
      </x:c>
      <x:c r="L48" s="5" t="str">
        <x:v>320 x 267</x:v>
      </x:c>
      <x:c r="M48" s="5" t="str">
        <x:v>Cream, peach, pink, blue</x:v>
      </x:c>
      <x:c r="N48" s="5" t="str">
        <x:v>Preserve the existing CSS gradient. Export foreground separately with transparent background. Keep key UI within the central 80%.</x:v>
      </x:c>
      <x:c r="O48" s="5" t="str">
        <x:v>http://localhost:3000/products/agent-os</x:v>
      </x:c>
    </x:row>
    <x:row r="49" ht="51" customHeight="1">
      <x:c r="A49" s="10" t="str">
        <x:v>P04-09</x:v>
      </x:c>
      <x:c r="B49" s="10" t="str">
        <x:v>Agent OS</x:v>
      </x:c>
      <x:c r="C49" s="10" t="str">
        <x:v>Feature card</x:v>
      </x:c>
      <x:c r="D49" s="10" t="str">
        <x:v>Choose the model for the task.</x:v>
      </x:c>
      <x:c r="E49" s="10" t="str">
        <x:v>A032</x:v>
      </x:c>
      <x:c r="F49" s="10" t="str">
        <x:v>A model selection panel assigning different models to drafting, reasoning and extraction tasks.</x:v>
      </x:c>
      <x:c r="G49" s="10" t="str">
        <x:v>Create</x:v>
      </x:c>
      <x:c r="H49" s="10" t="str">
        <x:f>'Production assets'!F37</x:f>
        <x:v>Not started</x:v>
      </x:c>
      <x:c r="I49" s="10" t="str">
        <x:v>1200 x 1000 WebP crop of shared master</x:v>
      </x:c>
      <x:c r="J49" s="10" t="str">
        <x:v>Generic workflow illustration</x:v>
      </x:c>
      <x:c r="K49" s="10" t="str">
        <x:v>CSS gradient + live UI</x:v>
      </x:c>
      <x:c r="L49" s="10" t="str">
        <x:v>320 x 267</x:v>
      </x:c>
      <x:c r="M49" s="10" t="str">
        <x:v>Cream, peach, pink, blue</x:v>
      </x:c>
      <x:c r="N49" s="10" t="str">
        <x:v>Preserve the existing CSS gradient. Export foreground separately with transparent background. Keep key UI within the central 80%.</x:v>
      </x:c>
      <x:c r="O49" s="10" t="str">
        <x:v>http://localhost:3000/products/agent-os</x:v>
      </x:c>
    </x:row>
    <x:row r="50" ht="51" customHeight="1">
      <x:c r="A50" s="5" t="str">
        <x:v>P04-10</x:v>
      </x:c>
      <x:c r="B50" s="5" t="str">
        <x:v>Agent OS</x:v>
      </x:c>
      <x:c r="C50" s="5" t="str">
        <x:v>Feature card</x:v>
      </x:c>
      <x:c r="D50" s="5" t="str">
        <x:v>Keep useful context close.</x:v>
      </x:c>
      <x:c r="E50" s="5" t="str">
        <x:v>A033</x:v>
      </x:c>
      <x:c r="F50" s="5" t="str">
        <x:v>A memory drawer attaching a relevant document and prior decision to the current task.</x:v>
      </x:c>
      <x:c r="G50" s="5" t="str">
        <x:v>Create</x:v>
      </x:c>
      <x:c r="H50" s="5" t="str">
        <x:f>'Production assets'!F38</x:f>
        <x:v>Not started</x:v>
      </x:c>
      <x:c r="I50" s="5" t="str">
        <x:v>1200 x 1000 WebP crop of shared master</x:v>
      </x:c>
      <x:c r="J50" s="5" t="str">
        <x:v>Generic workflow illustration</x:v>
      </x:c>
      <x:c r="K50" s="5" t="str">
        <x:v>CSS gradient + live UI</x:v>
      </x:c>
      <x:c r="L50" s="5" t="str">
        <x:v>320 x 267</x:v>
      </x:c>
      <x:c r="M50" s="5" t="str">
        <x:v>Cream, peach, pink, blue</x:v>
      </x:c>
      <x:c r="N50" s="5" t="str">
        <x:v>Preserve the existing CSS gradient. Export foreground separately with transparent background. Keep key UI within the central 80%.</x:v>
      </x:c>
      <x:c r="O50" s="5" t="str">
        <x:v>http://localhost:3000/products/agent-os</x:v>
      </x:c>
    </x:row>
    <x:row r="51" ht="38" customHeight="1">
      <x:c r="A51" s="10" t="str">
        <x:v>P04-11</x:v>
      </x:c>
      <x:c r="B51" s="10" t="str">
        <x:v>Agent OS</x:v>
      </x:c>
      <x:c r="C51" s="10" t="str">
        <x:v>Product overview</x:v>
      </x:c>
      <x:c r="D51" s="10" t="str">
        <x:v>The pieces that keep your work connected.</x:v>
      </x:c>
      <x:c r="E51" s="10" t="str">
        <x:v>A009</x:v>
      </x:c>
      <x:c r="F51" s="10" t="str">
        <x:v>Retain the existing interactive workspace. Optional static poster only if a still image is needed.</x:v>
      </x:c>
      <x:c r="G51" s="10" t="str">
        <x:v>Reuse</x:v>
      </x:c>
      <x:c r="H51" s="10" t="str">
        <x:f>'Production assets'!F14</x:f>
        <x:v>Existing</x:v>
      </x:c>
      <x:c r="I51" s="10" t="str">
        <x:v>Live component; optional 1920 px wide poster</x:v>
      </x:c>
      <x:c r="J51" s="10" t="str">
        <x:v>Interactive workspace</x:v>
      </x:c>
      <x:c r="K51" s="10" t="str">
        <x:v>CSS gradient + live UI</x:v>
      </x:c>
      <x:c r="L51" s="10" t="str">
        <x:v>960 x 678</x:v>
      </x:c>
      <x:c r="M51" s="10" t="str">
        <x:v>Cream, peach, pink, blue</x:v>
      </x:c>
      <x:c r="N51" s="10" t="str">
        <x:v>Do not replace working controls with a flattened image.</x:v>
      </x:c>
      <x:c r="O51" s="10" t="str">
        <x:v>http://localhost:3000/products/agent-os</x:v>
      </x:c>
    </x:row>
    <x:row r="52" ht="51" customHeight="1">
      <x:c r="A52" s="5" t="str">
        <x:v>P04-12</x:v>
      </x:c>
      <x:c r="B52" s="5" t="str">
        <x:v>Agent OS</x:v>
      </x:c>
      <x:c r="C52" s="5" t="str">
        <x:v>Feature detail</x:v>
      </x:c>
      <x:c r="D52" s="5" t="str">
        <x:v>See how the steps fit together.</x:v>
      </x:c>
      <x:c r="E52" s="5" t="str">
        <x:v>A026</x:v>
      </x:c>
      <x:c r="F52" s="5" t="str">
        <x:v>A branching agent graph with one highlighted route from request to reviewed output.</x:v>
      </x:c>
      <x:c r="G52" s="5" t="str">
        <x:v>Create</x:v>
      </x:c>
      <x:c r="H52" s="5" t="str">
        <x:f>'Production assets'!F31</x:f>
        <x:v>Not started</x:v>
      </x:c>
      <x:c r="I52" s="5" t="str">
        <x:v>Editable SVG/layers + 1200 x 1200 WebP</x:v>
      </x:c>
      <x:c r="J52" s="5" t="str">
        <x:v>Generic workflow illustration</x:v>
      </x:c>
      <x:c r="K52" s="5" t="str">
        <x:v>CSS gradient + live UI</x:v>
      </x:c>
      <x:c r="L52" s="5" t="str">
        <x:v>580 x 580</x:v>
      </x:c>
      <x:c r="M52" s="5" t="str">
        <x:v>Cream, peach, pink, blue</x:v>
      </x:c>
      <x:c r="N52" s="5" t="str">
        <x:v>Preserve the existing CSS gradient. Export foreground separately with transparent background. Keep key UI within the central 80%.</x:v>
      </x:c>
      <x:c r="O52" s="5" t="str">
        <x:v>http://localhost:3000/products/agent-os#graph-based-execution</x:v>
      </x:c>
    </x:row>
    <x:row r="53" ht="51" customHeight="1">
      <x:c r="A53" s="10" t="str">
        <x:v>P04-13</x:v>
      </x:c>
      <x:c r="B53" s="10" t="str">
        <x:v>Agent OS</x:v>
      </x:c>
      <x:c r="C53" s="10" t="str">
        <x:v>Feature detail</x:v>
      </x:c>
      <x:c r="D53" s="10" t="str">
        <x:v>Build once. Use it again.</x:v>
      </x:c>
      <x:c r="E53" s="10" t="str">
        <x:v>A027</x:v>
      </x:c>
      <x:c r="F53" s="10" t="str">
        <x:v>Reusable skill, tool and trigger blocks snapping into a single workflow.</x:v>
      </x:c>
      <x:c r="G53" s="10" t="str">
        <x:v>Create</x:v>
      </x:c>
      <x:c r="H53" s="10" t="str">
        <x:f>'Production assets'!F32</x:f>
        <x:v>Not started</x:v>
      </x:c>
      <x:c r="I53" s="10" t="str">
        <x:v>Editable SVG/layers + 1200 x 1200 WebP</x:v>
      </x:c>
      <x:c r="J53" s="10" t="str">
        <x:v>Generic workflow illustration</x:v>
      </x:c>
      <x:c r="K53" s="10" t="str">
        <x:v>CSS gradient + live UI</x:v>
      </x:c>
      <x:c r="L53" s="10" t="str">
        <x:v>532 x 532</x:v>
      </x:c>
      <x:c r="M53" s="10" t="str">
        <x:v>Cream, peach, pink, blue</x:v>
      </x:c>
      <x:c r="N53" s="10" t="str">
        <x:v>Preserve the existing CSS gradient. Export foreground separately with transparent background. Keep key UI within the central 80%.</x:v>
      </x:c>
      <x:c r="O53" s="10" t="str">
        <x:v>http://localhost:3000/products/agent-os#unified-building-blocks</x:v>
      </x:c>
    </x:row>
    <x:row r="54" ht="51" customHeight="1">
      <x:c r="A54" s="5" t="str">
        <x:v>P04-14</x:v>
      </x:c>
      <x:c r="B54" s="5" t="str">
        <x:v>Agent OS</x:v>
      </x:c>
      <x:c r="C54" s="5" t="str">
        <x:v>Feature detail</x:v>
      </x:c>
      <x:c r="D54" s="5" t="str">
        <x:v>Give each agent a clear role.</x:v>
      </x:c>
      <x:c r="E54" s="5" t="str">
        <x:v>A028</x:v>
      </x:c>
      <x:c r="F54" s="5" t="str">
        <x:v>Three agent role cards passing one shared task and its context between them.</x:v>
      </x:c>
      <x:c r="G54" s="5" t="str">
        <x:v>Create</x:v>
      </x:c>
      <x:c r="H54" s="5" t="str">
        <x:f>'Production assets'!F33</x:f>
        <x:v>Not started</x:v>
      </x:c>
      <x:c r="I54" s="5" t="str">
        <x:v>Editable SVG/layers + 1200 x 1200 WebP</x:v>
      </x:c>
      <x:c r="J54" s="5" t="str">
        <x:v>Generic workflow illustration</x:v>
      </x:c>
      <x:c r="K54" s="5" t="str">
        <x:v>CSS gradient + live UI</x:v>
      </x:c>
      <x:c r="L54" s="5" t="str">
        <x:v>580 x 580</x:v>
      </x:c>
      <x:c r="M54" s="5" t="str">
        <x:v>Cream, peach, pink, blue</x:v>
      </x:c>
      <x:c r="N54" s="5" t="str">
        <x:v>Preserve the existing CSS gradient. Export foreground separately with transparent background. Keep key UI within the central 80%.</x:v>
      </x:c>
      <x:c r="O54" s="5" t="str">
        <x:v>http://localhost:3000/products/agent-os#multi-agent-orchestration</x:v>
      </x:c>
    </x:row>
    <x:row r="55" ht="51" customHeight="1">
      <x:c r="A55" s="10" t="str">
        <x:v>P04-15</x:v>
      </x:c>
      <x:c r="B55" s="10" t="str">
        <x:v>Agent OS</x:v>
      </x:c>
      <x:c r="C55" s="10" t="str">
        <x:v>Feature detail</x:v>
      </x:c>
      <x:c r="D55" s="10" t="str">
        <x:v>Make the next run better.</x:v>
      </x:c>
      <x:c r="E55" s="10" t="str">
        <x:v>A029</x:v>
      </x:c>
      <x:c r="F55" s="10" t="str">
        <x:v>A run review panel showing a correction beside a revised workflow step.</x:v>
      </x:c>
      <x:c r="G55" s="10" t="str">
        <x:v>Create</x:v>
      </x:c>
      <x:c r="H55" s="10" t="str">
        <x:f>'Production assets'!F34</x:f>
        <x:v>Not started</x:v>
      </x:c>
      <x:c r="I55" s="10" t="str">
        <x:v>Editable SVG/layers + 1200 x 1200 WebP</x:v>
      </x:c>
      <x:c r="J55" s="10" t="str">
        <x:v>Generic workflow illustration</x:v>
      </x:c>
      <x:c r="K55" s="10" t="str">
        <x:v>CSS gradient + live UI</x:v>
      </x:c>
      <x:c r="L55" s="10" t="str">
        <x:v>532 x 532</x:v>
      </x:c>
      <x:c r="M55" s="10" t="str">
        <x:v>Cream, peach, pink, blue</x:v>
      </x:c>
      <x:c r="N55" s="10" t="str">
        <x:v>Preserve the existing CSS gradient. Export foreground separately with transparent background. Keep key UI within the central 80%.</x:v>
      </x:c>
      <x:c r="O55" s="10" t="str">
        <x:v>http://localhost:3000/products/agent-os#review-and-iteration</x:v>
      </x:c>
    </x:row>
    <x:row r="56" ht="51" customHeight="1">
      <x:c r="A56" s="5" t="str">
        <x:v>P04-16</x:v>
      </x:c>
      <x:c r="B56" s="5" t="str">
        <x:v>Agent OS</x:v>
      </x:c>
      <x:c r="C56" s="5" t="str">
        <x:v>Feature detail</x:v>
      </x:c>
      <x:c r="D56" s="5" t="str">
        <x:v>Define a good result.</x:v>
      </x:c>
      <x:c r="E56" s="5" t="str">
        <x:v>A030</x:v>
      </x:c>
      <x:c r="F56" s="5" t="str">
        <x:v>A result checklist comparing expected and actual outputs, with one item needing review.</x:v>
      </x:c>
      <x:c r="G56" s="5" t="str">
        <x:v>Create</x:v>
      </x:c>
      <x:c r="H56" s="5" t="str">
        <x:f>'Production assets'!F35</x:f>
        <x:v>Not started</x:v>
      </x:c>
      <x:c r="I56" s="5" t="str">
        <x:v>Editable SVG/layers + 1200 x 1200 WebP</x:v>
      </x:c>
      <x:c r="J56" s="5" t="str">
        <x:v>Generic workflow illustration</x:v>
      </x:c>
      <x:c r="K56" s="5" t="str">
        <x:v>CSS gradient + live UI</x:v>
      </x:c>
      <x:c r="L56" s="5" t="str">
        <x:v>580 x 580</x:v>
      </x:c>
      <x:c r="M56" s="5" t="str">
        <x:v>Cream, peach, pink, blue</x:v>
      </x:c>
      <x:c r="N56" s="5" t="str">
        <x:v>Preserve the existing CSS gradient. Export foreground separately with transparent background. Keep key UI within the central 80%.</x:v>
      </x:c>
      <x:c r="O56" s="5" t="str">
        <x:v>http://localhost:3000/products/agent-os#evaluation-framework</x:v>
      </x:c>
    </x:row>
    <x:row r="57" ht="51" customHeight="1">
      <x:c r="A57" s="10" t="str">
        <x:v>P04-17</x:v>
      </x:c>
      <x:c r="B57" s="10" t="str">
        <x:v>Agent OS</x:v>
      </x:c>
      <x:c r="C57" s="10" t="str">
        <x:v>Feature detail</x:v>
      </x:c>
      <x:c r="D57" s="10" t="str">
        <x:v>Keep people in the decisions.</x:v>
      </x:c>
      <x:c r="E57" s="10" t="str">
        <x:v>A031</x:v>
      </x:c>
      <x:c r="F57" s="10" t="str">
        <x:v>An approval inbox with a proposed action, supporting context and approve or revise controls.</x:v>
      </x:c>
      <x:c r="G57" s="10" t="str">
        <x:v>Create</x:v>
      </x:c>
      <x:c r="H57" s="10" t="str">
        <x:f>'Production assets'!F36</x:f>
        <x:v>Not started</x:v>
      </x:c>
      <x:c r="I57" s="10" t="str">
        <x:v>Editable SVG/layers + 1200 x 1200 WebP</x:v>
      </x:c>
      <x:c r="J57" s="10" t="str">
        <x:v>Generic workflow illustration</x:v>
      </x:c>
      <x:c r="K57" s="10" t="str">
        <x:v>CSS gradient + live UI</x:v>
      </x:c>
      <x:c r="L57" s="10" t="str">
        <x:v>532 x 532</x:v>
      </x:c>
      <x:c r="M57" s="10" t="str">
        <x:v>Cream, peach, pink, blue</x:v>
      </x:c>
      <x:c r="N57" s="10" t="str">
        <x:v>Preserve the existing CSS gradient. Export foreground separately with transparent background. Keep key UI within the central 80%.</x:v>
      </x:c>
      <x:c r="O57" s="10" t="str">
        <x:v>http://localhost:3000/products/agent-os#human-in-the-loop</x:v>
      </x:c>
    </x:row>
    <x:row r="58" ht="51" customHeight="1">
      <x:c r="A58" s="5" t="str">
        <x:v>P04-18</x:v>
      </x:c>
      <x:c r="B58" s="5" t="str">
        <x:v>Agent OS</x:v>
      </x:c>
      <x:c r="C58" s="5" t="str">
        <x:v>Feature detail</x:v>
      </x:c>
      <x:c r="D58" s="5" t="str">
        <x:v>Choose the model for the task.</x:v>
      </x:c>
      <x:c r="E58" s="5" t="str">
        <x:v>A032</x:v>
      </x:c>
      <x:c r="F58" s="5" t="str">
        <x:v>A model selection panel assigning different models to drafting, reasoning and extraction tasks.</x:v>
      </x:c>
      <x:c r="G58" s="5" t="str">
        <x:v>Create</x:v>
      </x:c>
      <x:c r="H58" s="5" t="str">
        <x:f>'Production assets'!F37</x:f>
        <x:v>Not started</x:v>
      </x:c>
      <x:c r="I58" s="5" t="str">
        <x:v>Editable SVG/layers + 1200 x 1200 WebP</x:v>
      </x:c>
      <x:c r="J58" s="5" t="str">
        <x:v>Generic workflow illustration</x:v>
      </x:c>
      <x:c r="K58" s="5" t="str">
        <x:v>CSS gradient + live UI</x:v>
      </x:c>
      <x:c r="L58" s="5" t="str">
        <x:v>580 x 580</x:v>
      </x:c>
      <x:c r="M58" s="5" t="str">
        <x:v>Cream, peach, pink, blue</x:v>
      </x:c>
      <x:c r="N58" s="5" t="str">
        <x:v>Preserve the existing CSS gradient. Export foreground separately with transparent background. Keep key UI within the central 80%.</x:v>
      </x:c>
      <x:c r="O58" s="5" t="str">
        <x:v>http://localhost:3000/products/agent-os#model-flexibility</x:v>
      </x:c>
    </x:row>
    <x:row r="59" ht="51" customHeight="1">
      <x:c r="A59" s="10" t="str">
        <x:v>P04-19</x:v>
      </x:c>
      <x:c r="B59" s="10" t="str">
        <x:v>Agent OS</x:v>
      </x:c>
      <x:c r="C59" s="10" t="str">
        <x:v>Feature detail</x:v>
      </x:c>
      <x:c r="D59" s="10" t="str">
        <x:v>Keep useful context close.</x:v>
      </x:c>
      <x:c r="E59" s="10" t="str">
        <x:v>A033</x:v>
      </x:c>
      <x:c r="F59" s="10" t="str">
        <x:v>A memory drawer attaching a relevant document and prior decision to the current task.</x:v>
      </x:c>
      <x:c r="G59" s="10" t="str">
        <x:v>Create</x:v>
      </x:c>
      <x:c r="H59" s="10" t="str">
        <x:f>'Production assets'!F38</x:f>
        <x:v>Not started</x:v>
      </x:c>
      <x:c r="I59" s="10" t="str">
        <x:v>Editable SVG/layers + 1200 x 1200 WebP</x:v>
      </x:c>
      <x:c r="J59" s="10" t="str">
        <x:v>Generic workflow illustration</x:v>
      </x:c>
      <x:c r="K59" s="10" t="str">
        <x:v>CSS gradient + live UI</x:v>
      </x:c>
      <x:c r="L59" s="10" t="str">
        <x:v>532 x 532</x:v>
      </x:c>
      <x:c r="M59" s="10" t="str">
        <x:v>Cream, peach, pink, blue</x:v>
      </x:c>
      <x:c r="N59" s="10" t="str">
        <x:v>Preserve the existing CSS gradient. Export foreground separately with transparent background. Keep key UI within the central 80%.</x:v>
      </x:c>
      <x:c r="O59" s="10" t="str">
        <x:v>http://localhost:3000/products/agent-os#memory-system</x:v>
      </x:c>
    </x:row>
    <x:row r="60" ht="38" customHeight="1">
      <x:c r="A60" s="5" t="str">
        <x:v>P04-20</x:v>
      </x:c>
      <x:c r="B60" s="5" t="str">
        <x:v>Agent OS</x:v>
      </x:c>
      <x:c r="C60" s="5" t="str">
        <x:v>Related product thumbnail</x:v>
      </x:c>
      <x:c r="D60" s="5" t="str">
        <x:v>Platform</x:v>
      </x:c>
      <x:c r="E60" s="5" t="str">
        <x:v>A015</x:v>
      </x:c>
      <x:c r="F60" s="5" t="str">
        <x:v>A compact workspace overview linking agents, tools and shared knowledge.</x:v>
      </x:c>
      <x:c r="G60" s="5" t="str">
        <x:v>Create</x:v>
      </x:c>
      <x:c r="H60" s="5" t="str">
        <x:f>'Production assets'!F20</x:f>
        <x:v>Not started</x:v>
      </x:c>
      <x:c r="I60" s="5" t="str">
        <x:v>Editable SVG + 1200 x 1000 WebP</x:v>
      </x:c>
      <x:c r="J60" s="5" t="str">
        <x:v>Generic star on gradient</x:v>
      </x:c>
      <x:c r="K60" s="5" t="str">
        <x:v>/brand/calendly/assistant-hero.svg + star glyph</x:v>
      </x:c>
      <x:c r="L60" s="5" t="str">
        <x:v>227 x 189</x:v>
      </x:c>
      <x:c r="M60" s="5" t="str">
        <x:v>Ice blue, white, teal, deep green</x:v>
      </x:c>
      <x:c r="N60" s="5" t="str">
        <x:v>Create once and reuse across related-product cards and the Platform card rail. Keep the gradient separate.</x:v>
      </x:c>
      <x:c r="O60" s="5" t="str">
        <x:v>http://localhost:3000/products/agent-os</x:v>
      </x:c>
    </x:row>
    <x:row r="61" ht="38" customHeight="1">
      <x:c r="A61" s="10" t="str">
        <x:v>P04-21</x:v>
      </x:c>
      <x:c r="B61" s="10" t="str">
        <x:v>Agent OS</x:v>
      </x:c>
      <x:c r="C61" s="10" t="str">
        <x:v>Related product thumbnail</x:v>
      </x:c>
      <x:c r="D61" s="10" t="str">
        <x:v>Integrations</x:v>
      </x:c>
      <x:c r="E61" s="10" t="str">
        <x:v>A006</x:v>
      </x:c>
      <x:c r="F61" s="10" t="str">
        <x:v>A central Innflow node connected to a small set of tool tiles.</x:v>
      </x:c>
      <x:c r="G61" s="10" t="str">
        <x:v>Create</x:v>
      </x:c>
      <x:c r="H61" s="10" t="str">
        <x:f>'Production assets'!F11</x:f>
        <x:v>Not started</x:v>
      </x:c>
      <x:c r="I61" s="10" t="str">
        <x:v>Editable SVG + 1200 x 1000 WebP</x:v>
      </x:c>
      <x:c r="J61" s="10" t="str">
        <x:v>Generic star on gradient</x:v>
      </x:c>
      <x:c r="K61" s="10" t="str">
        <x:v>/brand/calendly/scheduling-hero.svg + star glyph</x:v>
      </x:c>
      <x:c r="L61" s="10" t="str">
        <x:v>227 x 189</x:v>
      </x:c>
      <x:c r="M61" s="10" t="str">
        <x:v>Sky blue, pale aqua, navy</x:v>
      </x:c>
      <x:c r="N61" s="10" t="str">
        <x:v>Create once and reuse across related-product cards and the Platform card rail. Keep the gradient separate.</x:v>
      </x:c>
      <x:c r="O61" s="10" t="str">
        <x:v>http://localhost:3000/products/agent-os</x:v>
      </x:c>
    </x:row>
    <x:row r="62" ht="38" customHeight="1">
      <x:c r="A62" s="5" t="str">
        <x:v>P04-22</x:v>
      </x:c>
      <x:c r="B62" s="5" t="str">
        <x:v>Agent OS</x:v>
      </x:c>
      <x:c r="C62" s="5" t="str">
        <x:v>Related product thumbnail</x:v>
      </x:c>
      <x:c r="D62" s="5" t="str">
        <x:v>Agentic Workflows</x:v>
      </x:c>
      <x:c r="E62" s="5" t="str">
        <x:v>A010</x:v>
      </x:c>
      <x:c r="F62" s="5" t="str">
        <x:v>A compact workflow canvas with trigger, branch and action nodes.</x:v>
      </x:c>
      <x:c r="G62" s="5" t="str">
        <x:v>Create</x:v>
      </x:c>
      <x:c r="H62" s="5" t="str">
        <x:f>'Production assets'!F15</x:f>
        <x:v>Not started</x:v>
      </x:c>
      <x:c r="I62" s="5" t="str">
        <x:v>Editable SVG + 1200 x 1000 WebP</x:v>
      </x:c>
      <x:c r="J62" s="5" t="str">
        <x:v>Generic star on gradient</x:v>
      </x:c>
      <x:c r="K62" s="5" t="str">
        <x:v>/brand/calendly/notetaker-hero.svg + star glyph</x:v>
      </x:c>
      <x:c r="L62" s="5" t="str">
        <x:v>227 x 189</x:v>
      </x:c>
      <x:c r="M62" s="5" t="str">
        <x:v>Navy, blue, blush, lavender</x:v>
      </x:c>
      <x:c r="N62" s="5" t="str">
        <x:v>Create once and reuse across related-product cards and the Platform card rail. Keep the gradient separate.</x:v>
      </x:c>
      <x:c r="O62" s="5" t="str">
        <x:v>http://localhost:3000/products/agent-os</x:v>
      </x:c>
    </x:row>
    <x:row r="63" ht="38" customHeight="1">
      <x:c r="A63" s="10" t="str">
        <x:v>P04-23</x:v>
      </x:c>
      <x:c r="B63" s="10" t="str">
        <x:v>Agent OS</x:v>
      </x:c>
      <x:c r="C63" s="10" t="str">
        <x:v>Related product thumbnail</x:v>
      </x:c>
      <x:c r="D63" s="10" t="str">
        <x:v>AI Agents</x:v>
      </x:c>
      <x:c r="E63" s="10" t="str">
        <x:v>A012</x:v>
      </x:c>
      <x:c r="F63" s="10" t="str">
        <x:v>An agent task card with linked evidence and a proposed next action.</x:v>
      </x:c>
      <x:c r="G63" s="10" t="str">
        <x:v>Create</x:v>
      </x:c>
      <x:c r="H63" s="10" t="str">
        <x:f>'Production assets'!F17</x:f>
        <x:v>Not started</x:v>
      </x:c>
      <x:c r="I63" s="10" t="str">
        <x:v>Editable SVG + 1200 x 1000 WebP</x:v>
      </x:c>
      <x:c r="J63" s="10" t="str">
        <x:v>Generic star on gradient</x:v>
      </x:c>
      <x:c r="K63" s="10" t="str">
        <x:v>/brand/calendly/payments-hero.svg + star glyph</x:v>
      </x:c>
      <x:c r="L63" s="10" t="str">
        <x:v>227 x 189</x:v>
      </x:c>
      <x:c r="M63" s="10" t="str">
        <x:v>Pale mint, aqua, blue, navy</x:v>
      </x:c>
      <x:c r="N63" s="10" t="str">
        <x:v>Create once and reuse across related-product cards and the Platform card rail. Keep the gradient separate.</x:v>
      </x:c>
      <x:c r="O63" s="10" t="str">
        <x:v>http://localhost:3000/products/agent-os</x:v>
      </x:c>
    </x:row>
    <x:row r="64" ht="38" customHeight="1">
      <x:c r="A64" s="5" t="str">
        <x:v>P04-24</x:v>
      </x:c>
      <x:c r="B64" s="5" t="str">
        <x:v>Agent OS</x:v>
      </x:c>
      <x:c r="C64" s="5" t="str">
        <x:v>Related product thumbnail</x:v>
      </x:c>
      <x:c r="D64" s="5" t="str">
        <x:v>Agent Studio</x:v>
      </x:c>
      <x:c r="E64" s="5" t="str">
        <x:v>A013</x:v>
      </x:c>
      <x:c r="F64" s="5" t="str">
        <x:v>A miniature visual editor with configurable workflow nodes.</x:v>
      </x:c>
      <x:c r="G64" s="5" t="str">
        <x:v>Create</x:v>
      </x:c>
      <x:c r="H64" s="5" t="str">
        <x:f>'Production assets'!F18</x:f>
        <x:v>Not started</x:v>
      </x:c>
      <x:c r="I64" s="5" t="str">
        <x:v>Editable SVG + 1200 x 1000 WebP</x:v>
      </x:c>
      <x:c r="J64" s="5" t="str">
        <x:v>Generic star on gradient</x:v>
      </x:c>
      <x:c r="K64" s="5" t="str">
        <x:v>/brand/calendly/assistant-hero.svg + star glyph</x:v>
      </x:c>
      <x:c r="L64" s="5" t="str">
        <x:v>227 x 189</x:v>
      </x:c>
      <x:c r="M64" s="5" t="str">
        <x:v>Ice blue, white, teal, deep green</x:v>
      </x:c>
      <x:c r="N64" s="5" t="str">
        <x:v>Create once and reuse across related-product cards and the Platform card rail. Keep the gradient separate.</x:v>
      </x:c>
      <x:c r="O64" s="5" t="str">
        <x:v>http://localhost:3000/products/agent-os</x:v>
      </x:c>
    </x:row>
    <x:row r="65" ht="38" customHeight="1">
      <x:c r="A65" s="10" t="str">
        <x:v>P05-01</x:v>
      </x:c>
      <x:c r="B65" s="10" t="str">
        <x:v>AI Agents</x:v>
      </x:c>
      <x:c r="C65" s="10" t="str">
        <x:v>Hero background</x:v>
      </x:c>
      <x:c r="D65" s="10" t="str">
        <x:v>A little more help. A lot less chasing.</x:v>
      </x:c>
      <x:c r="E65" s="10" t="str">
        <x:v>A034</x:v>
      </x:c>
      <x:c r="F65" s="10" t="str">
        <x:v>Reuse the existing Paper SVG as a separate background layer. No new background required.</x:v>
      </x:c>
      <x:c r="G65" s="10" t="str">
        <x:v>Reuse</x:v>
      </x:c>
      <x:c r="H65" s="10" t="str">
        <x:f>'Production assets'!F39</x:f>
        <x:v>Existing</x:v>
      </x:c>
      <x:c r="I65" s="10" t="str">
        <x:v>Existing scalable SVG</x:v>
      </x:c>
      <x:c r="J65" s="10" t="str">
        <x:v>Existing background</x:v>
      </x:c>
      <x:c r="K65" s="10" t="str">
        <x:v>/brand/calendly/payments-hero.svg</x:v>
      </x:c>
      <x:c r="L65" s="10" t="str">
        <x:v>1387 x 776</x:v>
      </x:c>
      <x:c r="M65" s="10" t="str">
        <x:v>Pale mint, aqua, blue, navy</x:v>
      </x:c>
      <x:c r="N65" s="10" t="str">
        <x:v>Shared by every page using this style.</x:v>
      </x:c>
      <x:c r="O65" s="10" t="str">
        <x:v>http://localhost:3000/products/ai-agents</x:v>
      </x:c>
    </x:row>
    <x:row r="66" ht="51" customHeight="1">
      <x:c r="A66" s="5" t="str">
        <x:v>P05-02</x:v>
      </x:c>
      <x:c r="B66" s="5" t="str">
        <x:v>AI Agents</x:v>
      </x:c>
      <x:c r="C66" s="5" t="str">
        <x:v>Capability overview</x:v>
      </x:c>
      <x:c r="D66" s="5" t="str">
        <x:v>Problem solver</x:v>
      </x:c>
      <x:c r="E66" s="5" t="str">
        <x:v>A035</x:v>
      </x:c>
      <x:c r="F66" s="5" t="str">
        <x:v>An incoming business question, linked evidence cards and a draft answer ready for review.</x:v>
      </x:c>
      <x:c r="G66" s="5" t="str">
        <x:v>Create</x:v>
      </x:c>
      <x:c r="H66" s="5" t="str">
        <x:f>'Production assets'!F40</x:f>
        <x:v>Not started</x:v>
      </x:c>
      <x:c r="I66" s="5" t="str">
        <x:v>Editable SVG/layers + 1200 x 1200 WebP</x:v>
      </x:c>
      <x:c r="J66" s="5" t="str">
        <x:v>Generic workflow illustration</x:v>
      </x:c>
      <x:c r="K66" s="5" t="str">
        <x:v>CSS gradient + live UI</x:v>
      </x:c>
      <x:c r="L66" s="5" t="str">
        <x:v>580 x 580</x:v>
      </x:c>
      <x:c r="M66" s="5" t="str">
        <x:v>Pale mint, aqua, blue, navy</x:v>
      </x:c>
      <x:c r="N66" s="5" t="str">
        <x:v>Preserve the existing CSS gradient. Export foreground separately with transparent background. Keep key UI within the central 80%. Reuses the first feature detail artwork.</x:v>
      </x:c>
      <x:c r="O66" s="5" t="str">
        <x:v>http://localhost:3000/products/ai-agents#problem-solver</x:v>
      </x:c>
    </x:row>
    <x:row r="67" ht="51" customHeight="1">
      <x:c r="A67" s="10" t="str">
        <x:v>P05-03</x:v>
      </x:c>
      <x:c r="B67" s="10" t="str">
        <x:v>AI Agents</x:v>
      </x:c>
      <x:c r="C67" s="10" t="str">
        <x:v>Feature card</x:v>
      </x:c>
      <x:c r="D67" s="10" t="str">
        <x:v>Make room for a clearer answer.</x:v>
      </x:c>
      <x:c r="E67" s="10" t="str">
        <x:v>A035</x:v>
      </x:c>
      <x:c r="F67" s="10" t="str">
        <x:v>An incoming business question, linked evidence cards and a draft answer ready for review.</x:v>
      </x:c>
      <x:c r="G67" s="10" t="str">
        <x:v>Create</x:v>
      </x:c>
      <x:c r="H67" s="10" t="str">
        <x:f>'Production assets'!F40</x:f>
        <x:v>Not started</x:v>
      </x:c>
      <x:c r="I67" s="10" t="str">
        <x:v>1200 x 1000 WebP crop of shared master</x:v>
      </x:c>
      <x:c r="J67" s="10" t="str">
        <x:v>Generic workflow illustration</x:v>
      </x:c>
      <x:c r="K67" s="10" t="str">
        <x:v>CSS gradient + live UI</x:v>
      </x:c>
      <x:c r="L67" s="10" t="str">
        <x:v>320 x 267</x:v>
      </x:c>
      <x:c r="M67" s="10" t="str">
        <x:v>Pale mint, aqua, blue, navy</x:v>
      </x:c>
      <x:c r="N67" s="10" t="str">
        <x:v>Preserve the existing CSS gradient. Export foreground separately with transparent background. Keep key UI within the central 80%.</x:v>
      </x:c>
      <x:c r="O67" s="10" t="str">
        <x:v>http://localhost:3000/products/ai-agents</x:v>
      </x:c>
    </x:row>
    <x:row r="68" ht="51" customHeight="1">
      <x:c r="A68" s="5" t="str">
        <x:v>P05-04</x:v>
      </x:c>
      <x:c r="B68" s="5" t="str">
        <x:v>AI Agents</x:v>
      </x:c>
      <x:c r="C68" s="5" t="str">
        <x:v>Feature card</x:v>
      </x:c>
      <x:c r="D68" s="5" t="str">
        <x:v>Turn the request into a plan.</x:v>
      </x:c>
      <x:c r="E68" s="5" t="str">
        <x:v>A036</x:v>
      </x:c>
      <x:c r="F68" s="5" t="str">
        <x:v>A request turning into an ordered plan with dependencies and a human review step.</x:v>
      </x:c>
      <x:c r="G68" s="5" t="str">
        <x:v>Create</x:v>
      </x:c>
      <x:c r="H68" s="5" t="str">
        <x:f>'Production assets'!F41</x:f>
        <x:v>Not started</x:v>
      </x:c>
      <x:c r="I68" s="5" t="str">
        <x:v>1200 x 1000 WebP crop of shared master</x:v>
      </x:c>
      <x:c r="J68" s="5" t="str">
        <x:v>Generic workflow illustration</x:v>
      </x:c>
      <x:c r="K68" s="5" t="str">
        <x:v>CSS gradient + live UI</x:v>
      </x:c>
      <x:c r="L68" s="5" t="str">
        <x:v>320 x 267</x:v>
      </x:c>
      <x:c r="M68" s="5" t="str">
        <x:v>Pale mint, aqua, blue, navy</x:v>
      </x:c>
      <x:c r="N68" s="5" t="str">
        <x:v>Preserve the existing CSS gradient. Export foreground separately with transparent background. Keep key UI within the central 80%.</x:v>
      </x:c>
      <x:c r="O68" s="5" t="str">
        <x:v>http://localhost:3000/products/ai-agents</x:v>
      </x:c>
    </x:row>
    <x:row r="69" ht="51" customHeight="1">
      <x:c r="A69" s="10" t="str">
        <x:v>P05-05</x:v>
      </x:c>
      <x:c r="B69" s="10" t="str">
        <x:v>AI Agents</x:v>
      </x:c>
      <x:c r="C69" s="10" t="str">
        <x:v>Feature card</x:v>
      </x:c>
      <x:c r="D69" s="10" t="str">
        <x:v>Keep your tools in the flow.</x:v>
      </x:c>
      <x:c r="E69" s="10" t="str">
        <x:v>A037</x:v>
      </x:c>
      <x:c r="F69" s="10" t="str">
        <x:v>An agent connecting to an inbox, shared files and a record system through scoped tool cards.</x:v>
      </x:c>
      <x:c r="G69" s="10" t="str">
        <x:v>Create</x:v>
      </x:c>
      <x:c r="H69" s="10" t="str">
        <x:f>'Production assets'!F42</x:f>
        <x:v>Not started</x:v>
      </x:c>
      <x:c r="I69" s="10" t="str">
        <x:v>1200 x 1000 WebP crop of shared master</x:v>
      </x:c>
      <x:c r="J69" s="10" t="str">
        <x:v>Generic workflow illustration</x:v>
      </x:c>
      <x:c r="K69" s="10" t="str">
        <x:v>CSS gradient + live UI</x:v>
      </x:c>
      <x:c r="L69" s="10" t="str">
        <x:v>320 x 267</x:v>
      </x:c>
      <x:c r="M69" s="10" t="str">
        <x:v>Pale mint, aqua, blue, navy</x:v>
      </x:c>
      <x:c r="N69" s="10" t="str">
        <x:v>Preserve the existing CSS gradient. Export foreground separately with transparent background. Keep key UI within the central 80%.</x:v>
      </x:c>
      <x:c r="O69" s="10" t="str">
        <x:v>http://localhost:3000/products/ai-agents</x:v>
      </x:c>
    </x:row>
    <x:row r="70" ht="51" customHeight="1">
      <x:c r="A70" s="5" t="str">
        <x:v>P05-06</x:v>
      </x:c>
      <x:c r="B70" s="5" t="str">
        <x:v>AI Agents</x:v>
      </x:c>
      <x:c r="C70" s="5" t="str">
        <x:v>Feature card</x:v>
      </x:c>
      <x:c r="D70" s="5" t="str">
        <x:v>Move the work forward.</x:v>
      </x:c>
      <x:c r="E70" s="5" t="str">
        <x:v>A038</x:v>
      </x:c>
      <x:c r="F70" s="5" t="str">
        <x:v>An agent task progressing through a tool action, status update and reviewed completion.</x:v>
      </x:c>
      <x:c r="G70" s="5" t="str">
        <x:v>Create</x:v>
      </x:c>
      <x:c r="H70" s="5" t="str">
        <x:f>'Production assets'!F43</x:f>
        <x:v>Not started</x:v>
      </x:c>
      <x:c r="I70" s="5" t="str">
        <x:v>1200 x 1000 WebP crop of shared master</x:v>
      </x:c>
      <x:c r="J70" s="5" t="str">
        <x:v>Generic workflow illustration</x:v>
      </x:c>
      <x:c r="K70" s="5" t="str">
        <x:v>CSS gradient + live UI</x:v>
      </x:c>
      <x:c r="L70" s="5" t="str">
        <x:v>320 x 267</x:v>
      </x:c>
      <x:c r="M70" s="5" t="str">
        <x:v>Pale mint, aqua, blue, navy</x:v>
      </x:c>
      <x:c r="N70" s="5" t="str">
        <x:v>Preserve the existing CSS gradient. Export foreground separately with transparent background. Keep key UI within the central 80%.</x:v>
      </x:c>
      <x:c r="O70" s="5" t="str">
        <x:v>http://localhost:3000/products/ai-agents</x:v>
      </x:c>
    </x:row>
    <x:row r="71" ht="51" customHeight="1">
      <x:c r="A71" s="10" t="str">
        <x:v>P05-07</x:v>
      </x:c>
      <x:c r="B71" s="10" t="str">
        <x:v>AI Agents</x:v>
      </x:c>
      <x:c r="C71" s="10" t="str">
        <x:v>Feature card</x:v>
      </x:c>
      <x:c r="D71" s="10" t="str">
        <x:v>Make your process part of the work.</x:v>
      </x:c>
      <x:c r="E71" s="10" t="str">
        <x:v>A039</x:v>
      </x:c>
      <x:c r="F71" s="10" t="str">
        <x:v>An agent settings panel with its role, instructions and boundaries beside a matching draft response.</x:v>
      </x:c>
      <x:c r="G71" s="10" t="str">
        <x:v>Create</x:v>
      </x:c>
      <x:c r="H71" s="10" t="str">
        <x:f>'Production assets'!F44</x:f>
        <x:v>Not started</x:v>
      </x:c>
      <x:c r="I71" s="10" t="str">
        <x:v>1200 x 1000 WebP crop of shared master</x:v>
      </x:c>
      <x:c r="J71" s="10" t="str">
        <x:v>Generic workflow illustration</x:v>
      </x:c>
      <x:c r="K71" s="10" t="str">
        <x:v>CSS gradient + live UI</x:v>
      </x:c>
      <x:c r="L71" s="10" t="str">
        <x:v>320 x 267</x:v>
      </x:c>
      <x:c r="M71" s="10" t="str">
        <x:v>Pale mint, aqua, blue, navy</x:v>
      </x:c>
      <x:c r="N71" s="10" t="str">
        <x:v>Preserve the existing CSS gradient. Export foreground separately with transparent background. Keep key UI within the central 80%.</x:v>
      </x:c>
      <x:c r="O71" s="10" t="str">
        <x:v>http://localhost:3000/products/ai-agents</x:v>
      </x:c>
    </x:row>
    <x:row r="72" ht="51" customHeight="1">
      <x:c r="A72" s="5" t="str">
        <x:v>P05-08</x:v>
      </x:c>
      <x:c r="B72" s="5" t="str">
        <x:v>AI Agents</x:v>
      </x:c>
      <x:c r="C72" s="5" t="str">
        <x:v>Feature card</x:v>
      </x:c>
      <x:c r="D72" s="5" t="str">
        <x:v>Start with a useful example.</x:v>
      </x:c>
      <x:c r="E72" s="5" t="str">
        <x:v>A040</x:v>
      </x:c>
      <x:c r="F72" s="5" t="str">
        <x:v>A template picker with one reusable agent example expanded into editable steps.</x:v>
      </x:c>
      <x:c r="G72" s="5" t="str">
        <x:v>Create</x:v>
      </x:c>
      <x:c r="H72" s="5" t="str">
        <x:f>'Production assets'!F45</x:f>
        <x:v>Not started</x:v>
      </x:c>
      <x:c r="I72" s="5" t="str">
        <x:v>1200 x 1000 WebP crop of shared master</x:v>
      </x:c>
      <x:c r="J72" s="5" t="str">
        <x:v>Generic workflow illustration</x:v>
      </x:c>
      <x:c r="K72" s="5" t="str">
        <x:v>CSS gradient + live UI</x:v>
      </x:c>
      <x:c r="L72" s="5" t="str">
        <x:v>320 x 267</x:v>
      </x:c>
      <x:c r="M72" s="5" t="str">
        <x:v>Pale mint, aqua, blue, navy</x:v>
      </x:c>
      <x:c r="N72" s="5" t="str">
        <x:v>Preserve the existing CSS gradient. Export foreground separately with transparent background. Keep key UI within the central 80%.</x:v>
      </x:c>
      <x:c r="O72" s="5" t="str">
        <x:v>http://localhost:3000/products/ai-agents</x:v>
      </x:c>
    </x:row>
    <x:row r="73" ht="51" customHeight="1">
      <x:c r="A73" s="10" t="str">
        <x:v>P05-09</x:v>
      </x:c>
      <x:c r="B73" s="10" t="str">
        <x:v>AI Agents</x:v>
      </x:c>
      <x:c r="C73" s="10" t="str">
        <x:v>Feature card</x:v>
      </x:c>
      <x:c r="D73" s="10" t="str">
        <x:v>Make the next run better.</x:v>
      </x:c>
      <x:c r="E73" s="10" t="str">
        <x:v>A041</x:v>
      </x:c>
      <x:c r="F73" s="10" t="str">
        <x:v>A corrected result becoming a proposed instruction update before a comparison test.</x:v>
      </x:c>
      <x:c r="G73" s="10" t="str">
        <x:v>Create</x:v>
      </x:c>
      <x:c r="H73" s="10" t="str">
        <x:f>'Production assets'!F46</x:f>
        <x:v>Not started</x:v>
      </x:c>
      <x:c r="I73" s="10" t="str">
        <x:v>1200 x 1000 WebP crop of shared master</x:v>
      </x:c>
      <x:c r="J73" s="10" t="str">
        <x:v>Generic workflow illustration</x:v>
      </x:c>
      <x:c r="K73" s="10" t="str">
        <x:v>CSS gradient + live UI</x:v>
      </x:c>
      <x:c r="L73" s="10" t="str">
        <x:v>320 x 267</x:v>
      </x:c>
      <x:c r="M73" s="10" t="str">
        <x:v>Pale mint, aqua, blue, navy</x:v>
      </x:c>
      <x:c r="N73" s="10" t="str">
        <x:v>Preserve the existing CSS gradient. Export foreground separately with transparent background. Keep key UI within the central 80%.</x:v>
      </x:c>
      <x:c r="O73" s="10" t="str">
        <x:v>http://localhost:3000/products/ai-agents</x:v>
      </x:c>
    </x:row>
    <x:row r="74" ht="51" customHeight="1">
      <x:c r="A74" s="5" t="str">
        <x:v>P05-10</x:v>
      </x:c>
      <x:c r="B74" s="5" t="str">
        <x:v>AI Agents</x:v>
      </x:c>
      <x:c r="C74" s="5" t="str">
        <x:v>Feature card</x:v>
      </x:c>
      <x:c r="D74" s="5" t="str">
        <x:v>Keep people in the decisions.</x:v>
      </x:c>
      <x:c r="E74" s="5" t="str">
        <x:v>A042</x:v>
      </x:c>
      <x:c r="F74" s="5" t="str">
        <x:v>A person reviewing an agent proposal with context and an explicit approval control.</x:v>
      </x:c>
      <x:c r="G74" s="5" t="str">
        <x:v>Create</x:v>
      </x:c>
      <x:c r="H74" s="5" t="str">
        <x:f>'Production assets'!F47</x:f>
        <x:v>Not started</x:v>
      </x:c>
      <x:c r="I74" s="5" t="str">
        <x:v>1200 x 1000 WebP crop of shared master</x:v>
      </x:c>
      <x:c r="J74" s="5" t="str">
        <x:v>Generic workflow illustration</x:v>
      </x:c>
      <x:c r="K74" s="5" t="str">
        <x:v>CSS gradient + live UI</x:v>
      </x:c>
      <x:c r="L74" s="5" t="str">
        <x:v>320 x 267</x:v>
      </x:c>
      <x:c r="M74" s="5" t="str">
        <x:v>Pale mint, aqua, blue, navy</x:v>
      </x:c>
      <x:c r="N74" s="5" t="str">
        <x:v>Preserve the existing CSS gradient. Export foreground separately with transparent background. Keep key UI within the central 80%.</x:v>
      </x:c>
      <x:c r="O74" s="5" t="str">
        <x:v>http://localhost:3000/products/ai-agents</x:v>
      </x:c>
    </x:row>
    <x:row r="75" ht="38" customHeight="1">
      <x:c r="A75" s="10" t="str">
        <x:v>P05-11</x:v>
      </x:c>
      <x:c r="B75" s="10" t="str">
        <x:v>AI Agents</x:v>
      </x:c>
      <x:c r="C75" s="10" t="str">
        <x:v>Product overview</x:v>
      </x:c>
      <x:c r="D75" s="10" t="str">
        <x:v>The pieces that keep your work connected.</x:v>
      </x:c>
      <x:c r="E75" s="10" t="str">
        <x:v>A043</x:v>
      </x:c>
      <x:c r="F75" s="10" t="str">
        <x:v>Retain the existing interactive workspace. Optional static poster only if a still image is needed.</x:v>
      </x:c>
      <x:c r="G75" s="10" t="str">
        <x:v>Reuse</x:v>
      </x:c>
      <x:c r="H75" s="10" t="str">
        <x:f>'Production assets'!F48</x:f>
        <x:v>Existing</x:v>
      </x:c>
      <x:c r="I75" s="10" t="str">
        <x:v>Live component; optional 1920 px wide poster</x:v>
      </x:c>
      <x:c r="J75" s="10" t="str">
        <x:v>Interactive workspace</x:v>
      </x:c>
      <x:c r="K75" s="10" t="str">
        <x:v>CSS gradient + live UI</x:v>
      </x:c>
      <x:c r="L75" s="10" t="str">
        <x:v>960 x 652</x:v>
      </x:c>
      <x:c r="M75" s="10" t="str">
        <x:v>Pale mint, aqua, blue, navy</x:v>
      </x:c>
      <x:c r="N75" s="10" t="str">
        <x:v>Do not replace working controls with a flattened image.</x:v>
      </x:c>
      <x:c r="O75" s="10" t="str">
        <x:v>http://localhost:3000/products/ai-agents</x:v>
      </x:c>
    </x:row>
    <x:row r="76" ht="51" customHeight="1">
      <x:c r="A76" s="5" t="str">
        <x:v>P05-12</x:v>
      </x:c>
      <x:c r="B76" s="5" t="str">
        <x:v>AI Agents</x:v>
      </x:c>
      <x:c r="C76" s="5" t="str">
        <x:v>Feature detail</x:v>
      </x:c>
      <x:c r="D76" s="5" t="str">
        <x:v>Make room for a clearer answer.</x:v>
      </x:c>
      <x:c r="E76" s="5" t="str">
        <x:v>A035</x:v>
      </x:c>
      <x:c r="F76" s="5" t="str">
        <x:v>An incoming business question, linked evidence cards and a draft answer ready for review.</x:v>
      </x:c>
      <x:c r="G76" s="5" t="str">
        <x:v>Create</x:v>
      </x:c>
      <x:c r="H76" s="5" t="str">
        <x:f>'Production assets'!F40</x:f>
        <x:v>Not started</x:v>
      </x:c>
      <x:c r="I76" s="5" t="str">
        <x:v>Editable SVG/layers + 1200 x 1200 WebP</x:v>
      </x:c>
      <x:c r="J76" s="5" t="str">
        <x:v>Generic workflow illustration</x:v>
      </x:c>
      <x:c r="K76" s="5" t="str">
        <x:v>CSS gradient + live UI</x:v>
      </x:c>
      <x:c r="L76" s="5" t="str">
        <x:v>580 x 580</x:v>
      </x:c>
      <x:c r="M76" s="5" t="str">
        <x:v>Pale mint, aqua, blue, navy</x:v>
      </x:c>
      <x:c r="N76" s="5" t="str">
        <x:v>Preserve the existing CSS gradient. Export foreground separately with transparent background. Keep key UI within the central 80%.</x:v>
      </x:c>
      <x:c r="O76" s="5" t="str">
        <x:v>http://localhost:3000/products/ai-agents#problem-solver</x:v>
      </x:c>
    </x:row>
    <x:row r="77" ht="51" customHeight="1">
      <x:c r="A77" s="10" t="str">
        <x:v>P05-13</x:v>
      </x:c>
      <x:c r="B77" s="10" t="str">
        <x:v>AI Agents</x:v>
      </x:c>
      <x:c r="C77" s="10" t="str">
        <x:v>Feature detail</x:v>
      </x:c>
      <x:c r="D77" s="10" t="str">
        <x:v>Turn the request into a plan.</x:v>
      </x:c>
      <x:c r="E77" s="10" t="str">
        <x:v>A036</x:v>
      </x:c>
      <x:c r="F77" s="10" t="str">
        <x:v>A request turning into an ordered plan with dependencies and a human review step.</x:v>
      </x:c>
      <x:c r="G77" s="10" t="str">
        <x:v>Create</x:v>
      </x:c>
      <x:c r="H77" s="10" t="str">
        <x:f>'Production assets'!F41</x:f>
        <x:v>Not started</x:v>
      </x:c>
      <x:c r="I77" s="10" t="str">
        <x:v>Editable SVG/layers + 1200 x 1200 WebP</x:v>
      </x:c>
      <x:c r="J77" s="10" t="str">
        <x:v>Generic workflow illustration</x:v>
      </x:c>
      <x:c r="K77" s="10" t="str">
        <x:v>CSS gradient + live UI</x:v>
      </x:c>
      <x:c r="L77" s="10" t="str">
        <x:v>532 x 532</x:v>
      </x:c>
      <x:c r="M77" s="10" t="str">
        <x:v>Pale mint, aqua, blue, navy</x:v>
      </x:c>
      <x:c r="N77" s="10" t="str">
        <x:v>Preserve the existing CSS gradient. Export foreground separately with transparent background. Keep key UI within the central 80%.</x:v>
      </x:c>
      <x:c r="O77" s="10" t="str">
        <x:v>http://localhost:3000/products/ai-agents#intelligent-planning</x:v>
      </x:c>
    </x:row>
    <x:row r="78" ht="51" customHeight="1">
      <x:c r="A78" s="5" t="str">
        <x:v>P05-14</x:v>
      </x:c>
      <x:c r="B78" s="5" t="str">
        <x:v>AI Agents</x:v>
      </x:c>
      <x:c r="C78" s="5" t="str">
        <x:v>Feature detail</x:v>
      </x:c>
      <x:c r="D78" s="5" t="str">
        <x:v>Move the work forward.</x:v>
      </x:c>
      <x:c r="E78" s="5" t="str">
        <x:v>A038</x:v>
      </x:c>
      <x:c r="F78" s="5" t="str">
        <x:v>An agent task progressing through a tool action, status update and reviewed completion.</x:v>
      </x:c>
      <x:c r="G78" s="5" t="str">
        <x:v>Create</x:v>
      </x:c>
      <x:c r="H78" s="5" t="str">
        <x:f>'Production assets'!F43</x:f>
        <x:v>Not started</x:v>
      </x:c>
      <x:c r="I78" s="5" t="str">
        <x:v>Editable SVG/layers + 1200 x 1200 WebP</x:v>
      </x:c>
      <x:c r="J78" s="5" t="str">
        <x:v>Generic workflow illustration</x:v>
      </x:c>
      <x:c r="K78" s="5" t="str">
        <x:v>CSS gradient + live UI</x:v>
      </x:c>
      <x:c r="L78" s="5" t="str">
        <x:v>580 x 580</x:v>
      </x:c>
      <x:c r="M78" s="5" t="str">
        <x:v>Pale mint, aqua, blue, navy</x:v>
      </x:c>
      <x:c r="N78" s="5" t="str">
        <x:v>Preserve the existing CSS gradient. Export foreground separately with transparent background. Keep key UI within the central 80%.</x:v>
      </x:c>
      <x:c r="O78" s="5" t="str">
        <x:v>http://localhost:3000/products/ai-agents#agentic-execution</x:v>
      </x:c>
    </x:row>
    <x:row r="79" ht="51" customHeight="1">
      <x:c r="A79" s="10" t="str">
        <x:v>P05-15</x:v>
      </x:c>
      <x:c r="B79" s="10" t="str">
        <x:v>AI Agents</x:v>
      </x:c>
      <x:c r="C79" s="10" t="str">
        <x:v>Feature detail</x:v>
      </x:c>
      <x:c r="D79" s="10" t="str">
        <x:v>Keep your tools in the flow.</x:v>
      </x:c>
      <x:c r="E79" s="10" t="str">
        <x:v>A037</x:v>
      </x:c>
      <x:c r="F79" s="10" t="str">
        <x:v>An agent connecting to an inbox, shared files and a record system through scoped tool cards.</x:v>
      </x:c>
      <x:c r="G79" s="10" t="str">
        <x:v>Create</x:v>
      </x:c>
      <x:c r="H79" s="10" t="str">
        <x:f>'Production assets'!F42</x:f>
        <x:v>Not started</x:v>
      </x:c>
      <x:c r="I79" s="10" t="str">
        <x:v>Editable SVG/layers + 1200 x 1200 WebP</x:v>
      </x:c>
      <x:c r="J79" s="10" t="str">
        <x:v>Generic workflow illustration</x:v>
      </x:c>
      <x:c r="K79" s="10" t="str">
        <x:v>CSS gradient + live UI</x:v>
      </x:c>
      <x:c r="L79" s="10" t="str">
        <x:v>532 x 532</x:v>
      </x:c>
      <x:c r="M79" s="10" t="str">
        <x:v>Pale mint, aqua, blue, navy</x:v>
      </x:c>
      <x:c r="N79" s="10" t="str">
        <x:v>Preserve the existing CSS gradient. Export foreground separately with transparent background. Keep key UI within the central 80%.</x:v>
      </x:c>
      <x:c r="O79" s="10" t="str">
        <x:v>http://localhost:3000/products/ai-agents#integrations-tools</x:v>
      </x:c>
    </x:row>
    <x:row r="80" ht="51" customHeight="1">
      <x:c r="A80" s="5" t="str">
        <x:v>P05-16</x:v>
      </x:c>
      <x:c r="B80" s="5" t="str">
        <x:v>AI Agents</x:v>
      </x:c>
      <x:c r="C80" s="5" t="str">
        <x:v>Feature detail</x:v>
      </x:c>
      <x:c r="D80" s="5" t="str">
        <x:v>Make your process part of the work.</x:v>
      </x:c>
      <x:c r="E80" s="5" t="str">
        <x:v>A039</x:v>
      </x:c>
      <x:c r="F80" s="5" t="str">
        <x:v>An agent settings panel with its role, instructions and boundaries beside a matching draft response.</x:v>
      </x:c>
      <x:c r="G80" s="5" t="str">
        <x:v>Create</x:v>
      </x:c>
      <x:c r="H80" s="5" t="str">
        <x:f>'Production assets'!F44</x:f>
        <x:v>Not started</x:v>
      </x:c>
      <x:c r="I80" s="5" t="str">
        <x:v>Editable SVG/layers + 1200 x 1200 WebP</x:v>
      </x:c>
      <x:c r="J80" s="5" t="str">
        <x:v>Generic workflow illustration</x:v>
      </x:c>
      <x:c r="K80" s="5" t="str">
        <x:v>CSS gradient + live UI</x:v>
      </x:c>
      <x:c r="L80" s="5" t="str">
        <x:v>580 x 580</x:v>
      </x:c>
      <x:c r="M80" s="5" t="str">
        <x:v>Pale mint, aqua, blue, navy</x:v>
      </x:c>
      <x:c r="N80" s="5" t="str">
        <x:v>Preserve the existing CSS gradient. Export foreground separately with transparent background. Keep key UI within the central 80%.</x:v>
      </x:c>
      <x:c r="O80" s="5" t="str">
        <x:v>http://localhost:3000/products/ai-agents#agent-character</x:v>
      </x:c>
    </x:row>
    <x:row r="81" ht="51" customHeight="1">
      <x:c r="A81" s="10" t="str">
        <x:v>P05-17</x:v>
      </x:c>
      <x:c r="B81" s="10" t="str">
        <x:v>AI Agents</x:v>
      </x:c>
      <x:c r="C81" s="10" t="str">
        <x:v>Feature detail</x:v>
      </x:c>
      <x:c r="D81" s="10" t="str">
        <x:v>Start with a useful example.</x:v>
      </x:c>
      <x:c r="E81" s="10" t="str">
        <x:v>A040</x:v>
      </x:c>
      <x:c r="F81" s="10" t="str">
        <x:v>A template picker with one reusable agent example expanded into editable steps.</x:v>
      </x:c>
      <x:c r="G81" s="10" t="str">
        <x:v>Create</x:v>
      </x:c>
      <x:c r="H81" s="10" t="str">
        <x:f>'Production assets'!F45</x:f>
        <x:v>Not started</x:v>
      </x:c>
      <x:c r="I81" s="10" t="str">
        <x:v>Editable SVG/layers + 1200 x 1200 WebP</x:v>
      </x:c>
      <x:c r="J81" s="10" t="str">
        <x:v>Generic workflow illustration</x:v>
      </x:c>
      <x:c r="K81" s="10" t="str">
        <x:v>CSS gradient + live UI</x:v>
      </x:c>
      <x:c r="L81" s="10" t="str">
        <x:v>532 x 532</x:v>
      </x:c>
      <x:c r="M81" s="10" t="str">
        <x:v>Pale mint, aqua, blue, navy</x:v>
      </x:c>
      <x:c r="N81" s="10" t="str">
        <x:v>Preserve the existing CSS gradient. Export foreground separately with transparent background. Keep key UI within the central 80%.</x:v>
      </x:c>
      <x:c r="O81" s="10" t="str">
        <x:v>http://localhost:3000/products/ai-agents#templates</x:v>
      </x:c>
    </x:row>
    <x:row r="82" ht="51" customHeight="1">
      <x:c r="A82" s="5" t="str">
        <x:v>P05-18</x:v>
      </x:c>
      <x:c r="B82" s="5" t="str">
        <x:v>AI Agents</x:v>
      </x:c>
      <x:c r="C82" s="5" t="str">
        <x:v>Feature detail</x:v>
      </x:c>
      <x:c r="D82" s="5" t="str">
        <x:v>Make the next run better.</x:v>
      </x:c>
      <x:c r="E82" s="5" t="str">
        <x:v>A041</x:v>
      </x:c>
      <x:c r="F82" s="5" t="str">
        <x:v>A corrected result becoming a proposed instruction update before a comparison test.</x:v>
      </x:c>
      <x:c r="G82" s="5" t="str">
        <x:v>Create</x:v>
      </x:c>
      <x:c r="H82" s="5" t="str">
        <x:f>'Production assets'!F46</x:f>
        <x:v>Not started</x:v>
      </x:c>
      <x:c r="I82" s="5" t="str">
        <x:v>Editable SVG/layers + 1200 x 1200 WebP</x:v>
      </x:c>
      <x:c r="J82" s="5" t="str">
        <x:v>Generic workflow illustration</x:v>
      </x:c>
      <x:c r="K82" s="5" t="str">
        <x:v>CSS gradient + live UI</x:v>
      </x:c>
      <x:c r="L82" s="5" t="str">
        <x:v>580 x 580</x:v>
      </x:c>
      <x:c r="M82" s="5" t="str">
        <x:v>Pale mint, aqua, blue, navy</x:v>
      </x:c>
      <x:c r="N82" s="5" t="str">
        <x:v>Preserve the existing CSS gradient. Export foreground separately with transparent background. Keep key UI within the central 80%.</x:v>
      </x:c>
      <x:c r="O82" s="5" t="str">
        <x:v>http://localhost:3000/products/ai-agents#learning-agent</x:v>
      </x:c>
    </x:row>
    <x:row r="83" ht="51" customHeight="1">
      <x:c r="A83" s="10" t="str">
        <x:v>P05-19</x:v>
      </x:c>
      <x:c r="B83" s="10" t="str">
        <x:v>AI Agents</x:v>
      </x:c>
      <x:c r="C83" s="10" t="str">
        <x:v>Feature detail</x:v>
      </x:c>
      <x:c r="D83" s="10" t="str">
        <x:v>Keep people in the decisions.</x:v>
      </x:c>
      <x:c r="E83" s="10" t="str">
        <x:v>A042</x:v>
      </x:c>
      <x:c r="F83" s="10" t="str">
        <x:v>A person reviewing an agent proposal with context and an explicit approval control.</x:v>
      </x:c>
      <x:c r="G83" s="10" t="str">
        <x:v>Create</x:v>
      </x:c>
      <x:c r="H83" s="10" t="str">
        <x:f>'Production assets'!F47</x:f>
        <x:v>Not started</x:v>
      </x:c>
      <x:c r="I83" s="10" t="str">
        <x:v>Editable SVG/layers + 1200 x 1200 WebP</x:v>
      </x:c>
      <x:c r="J83" s="10" t="str">
        <x:v>Generic workflow illustration</x:v>
      </x:c>
      <x:c r="K83" s="10" t="str">
        <x:v>CSS gradient + live UI</x:v>
      </x:c>
      <x:c r="L83" s="10" t="str">
        <x:v>532 x 532</x:v>
      </x:c>
      <x:c r="M83" s="10" t="str">
        <x:v>Pale mint, aqua, blue, navy</x:v>
      </x:c>
      <x:c r="N83" s="10" t="str">
        <x:v>Preserve the existing CSS gradient. Export foreground separately with transparent background. Keep key UI within the central 80%.</x:v>
      </x:c>
      <x:c r="O83" s="10" t="str">
        <x:v>http://localhost:3000/products/ai-agents#human-in-the-loop</x:v>
      </x:c>
    </x:row>
    <x:row r="84" ht="38" customHeight="1">
      <x:c r="A84" s="5" t="str">
        <x:v>P05-20</x:v>
      </x:c>
      <x:c r="B84" s="5" t="str">
        <x:v>AI Agents</x:v>
      </x:c>
      <x:c r="C84" s="5" t="str">
        <x:v>Related product thumbnail</x:v>
      </x:c>
      <x:c r="D84" s="5" t="str">
        <x:v>Platform</x:v>
      </x:c>
      <x:c r="E84" s="5" t="str">
        <x:v>A015</x:v>
      </x:c>
      <x:c r="F84" s="5" t="str">
        <x:v>A compact workspace overview linking agents, tools and shared knowledge.</x:v>
      </x:c>
      <x:c r="G84" s="5" t="str">
        <x:v>Create</x:v>
      </x:c>
      <x:c r="H84" s="5" t="str">
        <x:f>'Production assets'!F20</x:f>
        <x:v>Not started</x:v>
      </x:c>
      <x:c r="I84" s="5" t="str">
        <x:v>Editable SVG + 1200 x 1000 WebP</x:v>
      </x:c>
      <x:c r="J84" s="5" t="str">
        <x:v>Generic star on gradient</x:v>
      </x:c>
      <x:c r="K84" s="5" t="str">
        <x:v>/brand/calendly/assistant-hero.svg + star glyph</x:v>
      </x:c>
      <x:c r="L84" s="5" t="str">
        <x:v>227 x 189</x:v>
      </x:c>
      <x:c r="M84" s="5" t="str">
        <x:v>Ice blue, white, teal, deep green</x:v>
      </x:c>
      <x:c r="N84" s="5" t="str">
        <x:v>Create once and reuse across related-product cards and the Platform card rail. Keep the gradient separate.</x:v>
      </x:c>
      <x:c r="O84" s="5" t="str">
        <x:v>http://localhost:3000/products/ai-agents</x:v>
      </x:c>
    </x:row>
    <x:row r="85" ht="38" customHeight="1">
      <x:c r="A85" s="10" t="str">
        <x:v>P05-21</x:v>
      </x:c>
      <x:c r="B85" s="10" t="str">
        <x:v>AI Agents</x:v>
      </x:c>
      <x:c r="C85" s="10" t="str">
        <x:v>Related product thumbnail</x:v>
      </x:c>
      <x:c r="D85" s="10" t="str">
        <x:v>Integrations</x:v>
      </x:c>
      <x:c r="E85" s="10" t="str">
        <x:v>A006</x:v>
      </x:c>
      <x:c r="F85" s="10" t="str">
        <x:v>A central Innflow node connected to a small set of tool tiles.</x:v>
      </x:c>
      <x:c r="G85" s="10" t="str">
        <x:v>Create</x:v>
      </x:c>
      <x:c r="H85" s="10" t="str">
        <x:f>'Production assets'!F11</x:f>
        <x:v>Not started</x:v>
      </x:c>
      <x:c r="I85" s="10" t="str">
        <x:v>Editable SVG + 1200 x 1000 WebP</x:v>
      </x:c>
      <x:c r="J85" s="10" t="str">
        <x:v>Generic star on gradient</x:v>
      </x:c>
      <x:c r="K85" s="10" t="str">
        <x:v>/brand/calendly/scheduling-hero.svg + star glyph</x:v>
      </x:c>
      <x:c r="L85" s="10" t="str">
        <x:v>227 x 189</x:v>
      </x:c>
      <x:c r="M85" s="10" t="str">
        <x:v>Sky blue, pale aqua, navy</x:v>
      </x:c>
      <x:c r="N85" s="10" t="str">
        <x:v>Create once and reuse across related-product cards and the Platform card rail. Keep the gradient separate.</x:v>
      </x:c>
      <x:c r="O85" s="10" t="str">
        <x:v>http://localhost:3000/products/ai-agents</x:v>
      </x:c>
    </x:row>
    <x:row r="86" ht="38" customHeight="1">
      <x:c r="A86" s="5" t="str">
        <x:v>P05-22</x:v>
      </x:c>
      <x:c r="B86" s="5" t="str">
        <x:v>AI Agents</x:v>
      </x:c>
      <x:c r="C86" s="5" t="str">
        <x:v>Related product thumbnail</x:v>
      </x:c>
      <x:c r="D86" s="5" t="str">
        <x:v>Agentic Workflows</x:v>
      </x:c>
      <x:c r="E86" s="5" t="str">
        <x:v>A010</x:v>
      </x:c>
      <x:c r="F86" s="5" t="str">
        <x:v>A compact workflow canvas with trigger, branch and action nodes.</x:v>
      </x:c>
      <x:c r="G86" s="5" t="str">
        <x:v>Create</x:v>
      </x:c>
      <x:c r="H86" s="5" t="str">
        <x:f>'Production assets'!F15</x:f>
        <x:v>Not started</x:v>
      </x:c>
      <x:c r="I86" s="5" t="str">
        <x:v>Editable SVG + 1200 x 1000 WebP</x:v>
      </x:c>
      <x:c r="J86" s="5" t="str">
        <x:v>Generic star on gradient</x:v>
      </x:c>
      <x:c r="K86" s="5" t="str">
        <x:v>/brand/calendly/notetaker-hero.svg + star glyph</x:v>
      </x:c>
      <x:c r="L86" s="5" t="str">
        <x:v>227 x 189</x:v>
      </x:c>
      <x:c r="M86" s="5" t="str">
        <x:v>Navy, blue, blush, lavender</x:v>
      </x:c>
      <x:c r="N86" s="5" t="str">
        <x:v>Create once and reuse across related-product cards and the Platform card rail. Keep the gradient separate.</x:v>
      </x:c>
      <x:c r="O86" s="5" t="str">
        <x:v>http://localhost:3000/products/ai-agents</x:v>
      </x:c>
    </x:row>
    <x:row r="87" ht="38" customHeight="1">
      <x:c r="A87" s="10" t="str">
        <x:v>P05-23</x:v>
      </x:c>
      <x:c r="B87" s="10" t="str">
        <x:v>AI Agents</x:v>
      </x:c>
      <x:c r="C87" s="10" t="str">
        <x:v>Related product thumbnail</x:v>
      </x:c>
      <x:c r="D87" s="10" t="str">
        <x:v>Agent OS</x:v>
      </x:c>
      <x:c r="E87" s="10" t="str">
        <x:v>A011</x:v>
      </x:c>
      <x:c r="F87" s="10" t="str">
        <x:v>A small orchestration graph connecting agents and shared memory.</x:v>
      </x:c>
      <x:c r="G87" s="10" t="str">
        <x:v>Create</x:v>
      </x:c>
      <x:c r="H87" s="10" t="str">
        <x:f>'Production assets'!F16</x:f>
        <x:v>Not started</x:v>
      </x:c>
      <x:c r="I87" s="10" t="str">
        <x:v>Editable SVG + 1200 x 1000 WebP</x:v>
      </x:c>
      <x:c r="J87" s="10" t="str">
        <x:v>Generic star on gradient</x:v>
      </x:c>
      <x:c r="K87" s="10" t="str">
        <x:v>/brand/calendly/contacts-hero.svg + star glyph</x:v>
      </x:c>
      <x:c r="L87" s="10" t="str">
        <x:v>227 x 189</x:v>
      </x:c>
      <x:c r="M87" s="10" t="str">
        <x:v>Cream, peach, pink, blue</x:v>
      </x:c>
      <x:c r="N87" s="10" t="str">
        <x:v>Create once and reuse across related-product cards and the Platform card rail. Keep the gradient separate.</x:v>
      </x:c>
      <x:c r="O87" s="10" t="str">
        <x:v>http://localhost:3000/products/ai-agents</x:v>
      </x:c>
    </x:row>
    <x:row r="88" ht="38" customHeight="1">
      <x:c r="A88" s="5" t="str">
        <x:v>P05-24</x:v>
      </x:c>
      <x:c r="B88" s="5" t="str">
        <x:v>AI Agents</x:v>
      </x:c>
      <x:c r="C88" s="5" t="str">
        <x:v>Related product thumbnail</x:v>
      </x:c>
      <x:c r="D88" s="5" t="str">
        <x:v>Agent Studio</x:v>
      </x:c>
      <x:c r="E88" s="5" t="str">
        <x:v>A013</x:v>
      </x:c>
      <x:c r="F88" s="5" t="str">
        <x:v>A miniature visual editor with configurable workflow nodes.</x:v>
      </x:c>
      <x:c r="G88" s="5" t="str">
        <x:v>Create</x:v>
      </x:c>
      <x:c r="H88" s="5" t="str">
        <x:f>'Production assets'!F18</x:f>
        <x:v>Not started</x:v>
      </x:c>
      <x:c r="I88" s="5" t="str">
        <x:v>Editable SVG + 1200 x 1000 WebP</x:v>
      </x:c>
      <x:c r="J88" s="5" t="str">
        <x:v>Generic star on gradient</x:v>
      </x:c>
      <x:c r="K88" s="5" t="str">
        <x:v>/brand/calendly/assistant-hero.svg + star glyph</x:v>
      </x:c>
      <x:c r="L88" s="5" t="str">
        <x:v>227 x 189</x:v>
      </x:c>
      <x:c r="M88" s="5" t="str">
        <x:v>Ice blue, white, teal, deep green</x:v>
      </x:c>
      <x:c r="N88" s="5" t="str">
        <x:v>Create once and reuse across related-product cards and the Platform card rail. Keep the gradient separate.</x:v>
      </x:c>
      <x:c r="O88" s="5" t="str">
        <x:v>http://localhost:3000/products/ai-agents</x:v>
      </x:c>
    </x:row>
    <x:row r="89" ht="38" customHeight="1">
      <x:c r="A89" s="10" t="str">
        <x:v>P06-01</x:v>
      </x:c>
      <x:c r="B89" s="10" t="str">
        <x:v>Agent Studio</x:v>
      </x:c>
      <x:c r="C89" s="10" t="str">
        <x:v>Hero background</x:v>
      </x:c>
      <x:c r="D89" s="10" t="str">
        <x:v>Build the way your team works.</x:v>
      </x:c>
      <x:c r="E89" s="10" t="str">
        <x:v>A001</x:v>
      </x:c>
      <x:c r="F89" s="10" t="str">
        <x:v>Reuse the existing Paper SVG as a separate background layer. No new background required.</x:v>
      </x:c>
      <x:c r="G89" s="10" t="str">
        <x:v>Reuse</x:v>
      </x:c>
      <x:c r="H89" s="10" t="str">
        <x:f>'Production assets'!F6</x:f>
        <x:v>Existing</x:v>
      </x:c>
      <x:c r="I89" s="10" t="str">
        <x:v>Existing scalable SVG</x:v>
      </x:c>
      <x:c r="J89" s="10" t="str">
        <x:v>Existing background</x:v>
      </x:c>
      <x:c r="K89" s="10" t="str">
        <x:v>/brand/calendly/assistant-hero.svg</x:v>
      </x:c>
      <x:c r="L89" s="10" t="str">
        <x:v>1387 x 776</x:v>
      </x:c>
      <x:c r="M89" s="10" t="str">
        <x:v>Ice blue, white, teal, deep green</x:v>
      </x:c>
      <x:c r="N89" s="10" t="str">
        <x:v>Shared by every page using this style.</x:v>
      </x:c>
      <x:c r="O89" s="10" t="str">
        <x:v>http://localhost:3000/products/agent-studio</x:v>
      </x:c>
    </x:row>
    <x:row r="90" ht="51" customHeight="1">
      <x:c r="A90" s="5" t="str">
        <x:v>P06-02</x:v>
      </x:c>
      <x:c r="B90" s="5" t="str">
        <x:v>Agent Studio</x:v>
      </x:c>
      <x:c r="C90" s="5" t="str">
        <x:v>Capability overview</x:v>
      </x:c>
      <x:c r="D90" s="5" t="str">
        <x:v>Three ways to create</x:v>
      </x:c>
      <x:c r="E90" s="5" t="str">
        <x:v>A044</x:v>
      </x:c>
      <x:c r="F90" s="5" t="str">
        <x:v>Three creation entry cards: choose a template, describe a workflow, or start with a blank canvas.</x:v>
      </x:c>
      <x:c r="G90" s="5" t="str">
        <x:v>Create</x:v>
      </x:c>
      <x:c r="H90" s="5" t="str">
        <x:f>'Production assets'!F49</x:f>
        <x:v>Not started</x:v>
      </x:c>
      <x:c r="I90" s="5" t="str">
        <x:v>Editable SVG/layers + 1200 x 1200 WebP</x:v>
      </x:c>
      <x:c r="J90" s="5" t="str">
        <x:v>Generic workflow illustration</x:v>
      </x:c>
      <x:c r="K90" s="5" t="str">
        <x:v>CSS gradient + live UI</x:v>
      </x:c>
      <x:c r="L90" s="5" t="str">
        <x:v>580 x 580</x:v>
      </x:c>
      <x:c r="M90" s="5" t="str">
        <x:v>Ice blue, white, teal, deep green</x:v>
      </x:c>
      <x:c r="N90" s="5" t="str">
        <x:v>Preserve the existing CSS gradient. Export foreground separately with transparent background. Keep key UI within the central 80%. Reuses the first feature detail artwork.</x:v>
      </x:c>
      <x:c r="O90" s="5" t="str">
        <x:v>http://localhost:3000/products/agent-studio#creation-paths</x:v>
      </x:c>
    </x:row>
    <x:row r="91" ht="51" customHeight="1">
      <x:c r="A91" s="10" t="str">
        <x:v>P06-03</x:v>
      </x:c>
      <x:c r="B91" s="10" t="str">
        <x:v>Agent Studio</x:v>
      </x:c>
      <x:c r="C91" s="10" t="str">
        <x:v>Feature card</x:v>
      </x:c>
      <x:c r="D91" s="10" t="str">
        <x:v>Three paths to your first workflow</x:v>
      </x:c>
      <x:c r="E91" s="10" t="str">
        <x:v>A044</x:v>
      </x:c>
      <x:c r="F91" s="10" t="str">
        <x:v>Three creation entry cards: choose a template, describe a workflow, or start with a blank canvas.</x:v>
      </x:c>
      <x:c r="G91" s="10" t="str">
        <x:v>Create</x:v>
      </x:c>
      <x:c r="H91" s="10" t="str">
        <x:f>'Production assets'!F49</x:f>
        <x:v>Not started</x:v>
      </x:c>
      <x:c r="I91" s="10" t="str">
        <x:v>1200 x 1000 WebP crop of shared master</x:v>
      </x:c>
      <x:c r="J91" s="10" t="str">
        <x:v>Generic workflow illustration</x:v>
      </x:c>
      <x:c r="K91" s="10" t="str">
        <x:v>CSS gradient + live UI</x:v>
      </x:c>
      <x:c r="L91" s="10" t="str">
        <x:v>320 x 267</x:v>
      </x:c>
      <x:c r="M91" s="10" t="str">
        <x:v>Ice blue, white, teal, deep green</x:v>
      </x:c>
      <x:c r="N91" s="10" t="str">
        <x:v>Preserve the existing CSS gradient. Export foreground separately with transparent background. Keep key UI within the central 80%.</x:v>
      </x:c>
      <x:c r="O91" s="10" t="str">
        <x:v>http://localhost:3000/products/agent-studio#creation-paths</x:v>
      </x:c>
    </x:row>
    <x:row r="92" ht="51" customHeight="1">
      <x:c r="A92" s="5" t="str">
        <x:v>P06-04</x:v>
      </x:c>
      <x:c r="B92" s="5" t="str">
        <x:v>Agent Studio</x:v>
      </x:c>
      <x:c r="C92" s="5" t="str">
        <x:v>Feature card</x:v>
      </x:c>
      <x:c r="D92" s="5" t="str">
        <x:v>Your tools, connected</x:v>
      </x:c>
      <x:c r="E92" s="5" t="str">
        <x:v>A045</x:v>
      </x:c>
      <x:c r="F92" s="5" t="str">
        <x:v>A connectors drawer showing connected tools, their permission scopes and a selected action.</x:v>
      </x:c>
      <x:c r="G92" s="5" t="str">
        <x:v>Create</x:v>
      </x:c>
      <x:c r="H92" s="5" t="str">
        <x:f>'Production assets'!F50</x:f>
        <x:v>Not started</x:v>
      </x:c>
      <x:c r="I92" s="5" t="str">
        <x:v>1200 x 1000 WebP crop of shared master</x:v>
      </x:c>
      <x:c r="J92" s="5" t="str">
        <x:v>Generic workflow illustration</x:v>
      </x:c>
      <x:c r="K92" s="5" t="str">
        <x:v>CSS gradient + live UI</x:v>
      </x:c>
      <x:c r="L92" s="5" t="str">
        <x:v>320 x 267</x:v>
      </x:c>
      <x:c r="M92" s="5" t="str">
        <x:v>Ice blue, white, teal, deep green</x:v>
      </x:c>
      <x:c r="N92" s="5" t="str">
        <x:v>Preserve the existing CSS gradient. Export foreground separately with transparent background. Keep key UI within the central 80%.</x:v>
      </x:c>
      <x:c r="O92" s="5" t="str">
        <x:v>http://localhost:3000/products/agent-studio#connectors</x:v>
      </x:c>
    </x:row>
    <x:row r="93" ht="51" customHeight="1">
      <x:c r="A93" s="10" t="str">
        <x:v>P06-05</x:v>
      </x:c>
      <x:c r="B93" s="10" t="str">
        <x:v>Agent Studio</x:v>
      </x:c>
      <x:c r="C93" s="10" t="str">
        <x:v>Feature card</x:v>
      </x:c>
      <x:c r="D93" s="10" t="str">
        <x:v>Build workflows visually</x:v>
      </x:c>
      <x:c r="E93" s="10" t="str">
        <x:v>A046</x:v>
      </x:c>
      <x:c r="F93" s="10" t="str">
        <x:v>A visual editor with connected steps and an open configuration drawer for one selected node.</x:v>
      </x:c>
      <x:c r="G93" s="10" t="str">
        <x:v>Create</x:v>
      </x:c>
      <x:c r="H93" s="10" t="str">
        <x:f>'Production assets'!F51</x:f>
        <x:v>Not started</x:v>
      </x:c>
      <x:c r="I93" s="10" t="str">
        <x:v>1200 x 1000 WebP crop of shared master</x:v>
      </x:c>
      <x:c r="J93" s="10" t="str">
        <x:v>Generic workflow illustration</x:v>
      </x:c>
      <x:c r="K93" s="10" t="str">
        <x:v>CSS gradient + live UI</x:v>
      </x:c>
      <x:c r="L93" s="10" t="str">
        <x:v>320 x 267</x:v>
      </x:c>
      <x:c r="M93" s="10" t="str">
        <x:v>Ice blue, white, teal, deep green</x:v>
      </x:c>
      <x:c r="N93" s="10" t="str">
        <x:v>Preserve the existing CSS gradient. Export foreground separately with transparent background. Keep key UI within the central 80%.</x:v>
      </x:c>
      <x:c r="O93" s="10" t="str">
        <x:v>http://localhost:3000/products/agent-studio#visual-builder</x:v>
      </x:c>
    </x:row>
    <x:row r="94" ht="51" customHeight="1">
      <x:c r="A94" s="5" t="str">
        <x:v>P06-06</x:v>
      </x:c>
      <x:c r="B94" s="5" t="str">
        <x:v>Agent Studio</x:v>
      </x:c>
      <x:c r="C94" s="5" t="str">
        <x:v>Feature card</x:v>
      </x:c>
      <x:c r="D94" s="5" t="str">
        <x:v>Start from reusable skills</x:v>
      </x:c>
      <x:c r="E94" s="5" t="str">
        <x:v>A047</x:v>
      </x:c>
      <x:c r="F94" s="5" t="str">
        <x:v>A skill library card expanding into a preconfigured, editable operation.</x:v>
      </x:c>
      <x:c r="G94" s="5" t="str">
        <x:v>Create</x:v>
      </x:c>
      <x:c r="H94" s="5" t="str">
        <x:f>'Production assets'!F52</x:f>
        <x:v>Not started</x:v>
      </x:c>
      <x:c r="I94" s="5" t="str">
        <x:v>1200 x 1000 WebP crop of shared master</x:v>
      </x:c>
      <x:c r="J94" s="5" t="str">
        <x:v>Generic workflow illustration</x:v>
      </x:c>
      <x:c r="K94" s="5" t="str">
        <x:v>CSS gradient + live UI</x:v>
      </x:c>
      <x:c r="L94" s="5" t="str">
        <x:v>320 x 267</x:v>
      </x:c>
      <x:c r="M94" s="5" t="str">
        <x:v>Ice blue, white, teal, deep green</x:v>
      </x:c>
      <x:c r="N94" s="5" t="str">
        <x:v>Preserve the existing CSS gradient. Export foreground separately with transparent background. Keep key UI within the central 80%.</x:v>
      </x:c>
      <x:c r="O94" s="5" t="str">
        <x:v>http://localhost:3000/products/agent-studio#templates</x:v>
      </x:c>
    </x:row>
    <x:row r="95" ht="51" customHeight="1">
      <x:c r="A95" s="10" t="str">
        <x:v>P06-07</x:v>
      </x:c>
      <x:c r="B95" s="10" t="str">
        <x:v>Agent Studio</x:v>
      </x:c>
      <x:c r="C95" s="10" t="str">
        <x:v>Feature card</x:v>
      </x:c>
      <x:c r="D95" s="10" t="str">
        <x:v>Test before you go live</x:v>
      </x:c>
      <x:c r="E95" s="10" t="str">
        <x:v>A048</x:v>
      </x:c>
      <x:c r="F95" s="10" t="str">
        <x:v>A workflow test console with sample input, expected output and a reviewable test result.</x:v>
      </x:c>
      <x:c r="G95" s="10" t="str">
        <x:v>Create</x:v>
      </x:c>
      <x:c r="H95" s="10" t="str">
        <x:f>'Production assets'!F53</x:f>
        <x:v>Not started</x:v>
      </x:c>
      <x:c r="I95" s="10" t="str">
        <x:v>1200 x 1000 WebP crop of shared master</x:v>
      </x:c>
      <x:c r="J95" s="10" t="str">
        <x:v>Generic workflow illustration</x:v>
      </x:c>
      <x:c r="K95" s="10" t="str">
        <x:v>CSS gradient + live UI</x:v>
      </x:c>
      <x:c r="L95" s="10" t="str">
        <x:v>320 x 267</x:v>
      </x:c>
      <x:c r="M95" s="10" t="str">
        <x:v>Ice blue, white, teal, deep green</x:v>
      </x:c>
      <x:c r="N95" s="10" t="str">
        <x:v>Preserve the existing CSS gradient. Export foreground separately with transparent background. Keep key UI within the central 80%.</x:v>
      </x:c>
      <x:c r="O95" s="10" t="str">
        <x:v>http://localhost:3000/products/agent-studio#testing</x:v>
      </x:c>
    </x:row>
    <x:row r="96" ht="51" customHeight="1">
      <x:c r="A96" s="5" t="str">
        <x:v>P06-08</x:v>
      </x:c>
      <x:c r="B96" s="5" t="str">
        <x:v>Agent Studio</x:v>
      </x:c>
      <x:c r="C96" s="5" t="str">
        <x:v>Feature card</x:v>
      </x:c>
      <x:c r="D96" s="5" t="str">
        <x:v>Find the step that needs attention</x:v>
      </x:c>
      <x:c r="E96" s="5" t="str">
        <x:v>A049</x:v>
      </x:c>
      <x:c r="F96" s="5" t="str">
        <x:v>A step-by-step trace with one flagged step and its input and output panels expanded.</x:v>
      </x:c>
      <x:c r="G96" s="5" t="str">
        <x:v>Create</x:v>
      </x:c>
      <x:c r="H96" s="5" t="str">
        <x:f>'Production assets'!F54</x:f>
        <x:v>Not started</x:v>
      </x:c>
      <x:c r="I96" s="5" t="str">
        <x:v>1200 x 1000 WebP crop of shared master</x:v>
      </x:c>
      <x:c r="J96" s="5" t="str">
        <x:v>Generic workflow illustration</x:v>
      </x:c>
      <x:c r="K96" s="5" t="str">
        <x:v>CSS gradient + live UI</x:v>
      </x:c>
      <x:c r="L96" s="5" t="str">
        <x:v>320 x 267</x:v>
      </x:c>
      <x:c r="M96" s="5" t="str">
        <x:v>Ice blue, white, teal, deep green</x:v>
      </x:c>
      <x:c r="N96" s="5" t="str">
        <x:v>Preserve the existing CSS gradient. Export foreground separately with transparent background. Keep key UI within the central 80%.</x:v>
      </x:c>
      <x:c r="O96" s="5" t="str">
        <x:v>http://localhost:3000/products/agent-studio#debugging</x:v>
      </x:c>
    </x:row>
    <x:row r="97" ht="51" customHeight="1">
      <x:c r="A97" s="10" t="str">
        <x:v>P06-09</x:v>
      </x:c>
      <x:c r="B97" s="10" t="str">
        <x:v>Agent Studio</x:v>
      </x:c>
      <x:c r="C97" s="10" t="str">
        <x:v>Feature card</x:v>
      </x:c>
      <x:c r="D97" s="10" t="str">
        <x:v>Improve with reviewed feedback</x:v>
      </x:c>
      <x:c r="E97" s="10" t="str">
        <x:v>A050</x:v>
      </x:c>
      <x:c r="F97" s="10" t="str">
        <x:v>A feedback annotation beside a proposed revision and a comparison test.</x:v>
      </x:c>
      <x:c r="G97" s="10" t="str">
        <x:v>Create</x:v>
      </x:c>
      <x:c r="H97" s="10" t="str">
        <x:f>'Production assets'!F55</x:f>
        <x:v>Not started</x:v>
      </x:c>
      <x:c r="I97" s="10" t="str">
        <x:v>1200 x 1000 WebP crop of shared master</x:v>
      </x:c>
      <x:c r="J97" s="10" t="str">
        <x:v>Generic workflow illustration</x:v>
      </x:c>
      <x:c r="K97" s="10" t="str">
        <x:v>CSS gradient + live UI</x:v>
      </x:c>
      <x:c r="L97" s="10" t="str">
        <x:v>320 x 267</x:v>
      </x:c>
      <x:c r="M97" s="10" t="str">
        <x:v>Ice blue, white, teal, deep green</x:v>
      </x:c>
      <x:c r="N97" s="10" t="str">
        <x:v>Preserve the existing CSS gradient. Export foreground separately with transparent background. Keep key UI within the central 80%.</x:v>
      </x:c>
      <x:c r="O97" s="10" t="str">
        <x:v>http://localhost:3000/products/agent-studio#learning</x:v>
      </x:c>
    </x:row>
    <x:row r="98" ht="51" customHeight="1">
      <x:c r="A98" s="5" t="str">
        <x:v>P06-10</x:v>
      </x:c>
      <x:c r="B98" s="5" t="str">
        <x:v>Agent Studio</x:v>
      </x:c>
      <x:c r="C98" s="5" t="str">
        <x:v>Feature card</x:v>
      </x:c>
      <x:c r="D98" s="5" t="str">
        <x:v>Publish with confidence</x:v>
      </x:c>
      <x:c r="E98" s="5" t="str">
        <x:v>A051</x:v>
      </x:c>
      <x:c r="F98" s="5" t="str">
        <x:v>A tested workflow moving through a release checklist into a published version, with a rollback option.</x:v>
      </x:c>
      <x:c r="G98" s="5" t="str">
        <x:v>Create</x:v>
      </x:c>
      <x:c r="H98" s="5" t="str">
        <x:f>'Production assets'!F56</x:f>
        <x:v>Not started</x:v>
      </x:c>
      <x:c r="I98" s="5" t="str">
        <x:v>1200 x 1000 WebP crop of shared master</x:v>
      </x:c>
      <x:c r="J98" s="5" t="str">
        <x:v>Generic workflow illustration</x:v>
      </x:c>
      <x:c r="K98" s="5" t="str">
        <x:v>CSS gradient + live UI</x:v>
      </x:c>
      <x:c r="L98" s="5" t="str">
        <x:v>320 x 267</x:v>
      </x:c>
      <x:c r="M98" s="5" t="str">
        <x:v>Ice blue, white, teal, deep green</x:v>
      </x:c>
      <x:c r="N98" s="5" t="str">
        <x:v>Preserve the existing CSS gradient. Export foreground separately with transparent background. Keep key UI within the central 80%.</x:v>
      </x:c>
      <x:c r="O98" s="5" t="str">
        <x:v>http://localhost:3000/products/agent-studio#publish</x:v>
      </x:c>
    </x:row>
    <x:row r="99" ht="38" customHeight="1">
      <x:c r="A99" s="10" t="str">
        <x:v>P06-11</x:v>
      </x:c>
      <x:c r="B99" s="10" t="str">
        <x:v>Agent Studio</x:v>
      </x:c>
      <x:c r="C99" s="10" t="str">
        <x:v>Product overview</x:v>
      </x:c>
      <x:c r="D99" s="10" t="str">
        <x:v>From the first idea to a workflow your team can use</x:v>
      </x:c>
      <x:c r="E99" s="10" t="str">
        <x:v>A009</x:v>
      </x:c>
      <x:c r="F99" s="10" t="str">
        <x:v>Retain the existing interactive workspace. Optional static poster only if a still image is needed.</x:v>
      </x:c>
      <x:c r="G99" s="10" t="str">
        <x:v>Reuse</x:v>
      </x:c>
      <x:c r="H99" s="10" t="str">
        <x:f>'Production assets'!F14</x:f>
        <x:v>Existing</x:v>
      </x:c>
      <x:c r="I99" s="10" t="str">
        <x:v>Live component; optional 1920 px wide poster</x:v>
      </x:c>
      <x:c r="J99" s="10" t="str">
        <x:v>Interactive workspace</x:v>
      </x:c>
      <x:c r="K99" s="10" t="str">
        <x:v>CSS gradient + live UI</x:v>
      </x:c>
      <x:c r="L99" s="10" t="str">
        <x:v>960 x 678</x:v>
      </x:c>
      <x:c r="M99" s="10" t="str">
        <x:v>Ice blue, white, teal, deep green</x:v>
      </x:c>
      <x:c r="N99" s="10" t="str">
        <x:v>Do not replace working controls with a flattened image.</x:v>
      </x:c>
      <x:c r="O99" s="10" t="str">
        <x:v>http://localhost:3000/products/agent-studio</x:v>
      </x:c>
    </x:row>
    <x:row r="100" ht="51" customHeight="1">
      <x:c r="A100" s="5" t="str">
        <x:v>P06-12</x:v>
      </x:c>
      <x:c r="B100" s="5" t="str">
        <x:v>Agent Studio</x:v>
      </x:c>
      <x:c r="C100" s="5" t="str">
        <x:v>Feature detail</x:v>
      </x:c>
      <x:c r="D100" s="5" t="str">
        <x:v>Start with a template, a prompt, or a blank canvas</x:v>
      </x:c>
      <x:c r="E100" s="5" t="str">
        <x:v>A044</x:v>
      </x:c>
      <x:c r="F100" s="5" t="str">
        <x:v>Three creation entry cards: choose a template, describe a workflow, or start with a blank canvas.</x:v>
      </x:c>
      <x:c r="G100" s="5" t="str">
        <x:v>Create</x:v>
      </x:c>
      <x:c r="H100" s="5" t="str">
        <x:f>'Production assets'!F49</x:f>
        <x:v>Not started</x:v>
      </x:c>
      <x:c r="I100" s="5" t="str">
        <x:v>Editable SVG/layers + 1200 x 1200 WebP</x:v>
      </x:c>
      <x:c r="J100" s="5" t="str">
        <x:v>Generic workflow illustration</x:v>
      </x:c>
      <x:c r="K100" s="5" t="str">
        <x:v>CSS gradient + live UI</x:v>
      </x:c>
      <x:c r="L100" s="5" t="str">
        <x:v>580 x 580</x:v>
      </x:c>
      <x:c r="M100" s="5" t="str">
        <x:v>Ice blue, white, teal, deep green</x:v>
      </x:c>
      <x:c r="N100" s="5" t="str">
        <x:v>Preserve the existing CSS gradient. Export foreground separately with transparent background. Keep key UI within the central 80%.</x:v>
      </x:c>
      <x:c r="O100" s="5" t="str">
        <x:v>http://localhost:3000/products/agent-studio#creation-paths</x:v>
      </x:c>
    </x:row>
    <x:row r="101" ht="51" customHeight="1">
      <x:c r="A101" s="10" t="str">
        <x:v>P06-13</x:v>
      </x:c>
      <x:c r="B101" s="10" t="str">
        <x:v>Agent Studio</x:v>
      </x:c>
      <x:c r="C101" s="10" t="str">
        <x:v>Feature detail</x:v>
      </x:c>
      <x:c r="D101" s="10" t="str">
        <x:v>Make the logic visible</x:v>
      </x:c>
      <x:c r="E101" s="10" t="str">
        <x:v>A046</x:v>
      </x:c>
      <x:c r="F101" s="10" t="str">
        <x:v>A visual editor with connected steps and an open configuration drawer for one selected node.</x:v>
      </x:c>
      <x:c r="G101" s="10" t="str">
        <x:v>Create</x:v>
      </x:c>
      <x:c r="H101" s="10" t="str">
        <x:f>'Production assets'!F51</x:f>
        <x:v>Not started</x:v>
      </x:c>
      <x:c r="I101" s="10" t="str">
        <x:v>Editable SVG/layers + 1200 x 1200 WebP</x:v>
      </x:c>
      <x:c r="J101" s="10" t="str">
        <x:v>Generic workflow illustration</x:v>
      </x:c>
      <x:c r="K101" s="10" t="str">
        <x:v>CSS gradient + live UI</x:v>
      </x:c>
      <x:c r="L101" s="10" t="str">
        <x:v>532 x 532</x:v>
      </x:c>
      <x:c r="M101" s="10" t="str">
        <x:v>Ice blue, white, teal, deep green</x:v>
      </x:c>
      <x:c r="N101" s="10" t="str">
        <x:v>Preserve the existing CSS gradient. Export foreground separately with transparent background. Keep key UI within the central 80%.</x:v>
      </x:c>
      <x:c r="O101" s="10" t="str">
        <x:v>http://localhost:3000/products/agent-studio#visual-builder</x:v>
      </x:c>
    </x:row>
    <x:row r="102" ht="51" customHeight="1">
      <x:c r="A102" s="5" t="str">
        <x:v>P06-14</x:v>
      </x:c>
      <x:c r="B102" s="5" t="str">
        <x:v>Agent Studio</x:v>
      </x:c>
      <x:c r="C102" s="5" t="str">
        <x:v>Feature detail</x:v>
      </x:c>
      <x:c r="D102" s="5" t="str">
        <x:v>Keep your tools in the flow.</x:v>
      </x:c>
      <x:c r="E102" s="5" t="str">
        <x:v>A045</x:v>
      </x:c>
      <x:c r="F102" s="5" t="str">
        <x:v>A connectors drawer showing connected tools, their permission scopes and a selected action.</x:v>
      </x:c>
      <x:c r="G102" s="5" t="str">
        <x:v>Create</x:v>
      </x:c>
      <x:c r="H102" s="5" t="str">
        <x:f>'Production assets'!F50</x:f>
        <x:v>Not started</x:v>
      </x:c>
      <x:c r="I102" s="5" t="str">
        <x:v>Editable SVG/layers + 1200 x 1200 WebP</x:v>
      </x:c>
      <x:c r="J102" s="5" t="str">
        <x:v>Generic workflow illustration</x:v>
      </x:c>
      <x:c r="K102" s="5" t="str">
        <x:v>CSS gradient + live UI</x:v>
      </x:c>
      <x:c r="L102" s="5" t="str">
        <x:v>580 x 580</x:v>
      </x:c>
      <x:c r="M102" s="5" t="str">
        <x:v>Ice blue, white, teal, deep green</x:v>
      </x:c>
      <x:c r="N102" s="5" t="str">
        <x:v>Preserve the existing CSS gradient. Export foreground separately with transparent background. Keep key UI within the central 80%.</x:v>
      </x:c>
      <x:c r="O102" s="5" t="str">
        <x:v>http://localhost:3000/products/agent-studio#connectors</x:v>
      </x:c>
    </x:row>
    <x:row r="103" ht="51" customHeight="1">
      <x:c r="A103" s="10" t="str">
        <x:v>P06-15</x:v>
      </x:c>
      <x:c r="B103" s="10" t="str">
        <x:v>Agent Studio</x:v>
      </x:c>
      <x:c r="C103" s="10" t="str">
        <x:v>Feature detail</x:v>
      </x:c>
      <x:c r="D103" s="10" t="str">
        <x:v>Start with a repeatable operation</x:v>
      </x:c>
      <x:c r="E103" s="10" t="str">
        <x:v>A047</x:v>
      </x:c>
      <x:c r="F103" s="10" t="str">
        <x:v>A skill library card expanding into a preconfigured, editable operation.</x:v>
      </x:c>
      <x:c r="G103" s="10" t="str">
        <x:v>Create</x:v>
      </x:c>
      <x:c r="H103" s="10" t="str">
        <x:f>'Production assets'!F52</x:f>
        <x:v>Not started</x:v>
      </x:c>
      <x:c r="I103" s="10" t="str">
        <x:v>Editable SVG/layers + 1200 x 1200 WebP</x:v>
      </x:c>
      <x:c r="J103" s="10" t="str">
        <x:v>Generic workflow illustration</x:v>
      </x:c>
      <x:c r="K103" s="10" t="str">
        <x:v>CSS gradient + live UI</x:v>
      </x:c>
      <x:c r="L103" s="10" t="str">
        <x:v>532 x 532</x:v>
      </x:c>
      <x:c r="M103" s="10" t="str">
        <x:v>Ice blue, white, teal, deep green</x:v>
      </x:c>
      <x:c r="N103" s="10" t="str">
        <x:v>Preserve the existing CSS gradient. Export foreground separately with transparent background. Keep key UI within the central 80%.</x:v>
      </x:c>
      <x:c r="O103" s="10" t="str">
        <x:v>http://localhost:3000/products/agent-studio#templates</x:v>
      </x:c>
    </x:row>
    <x:row r="104" ht="51" customHeight="1">
      <x:c r="A104" s="5" t="str">
        <x:v>P06-16</x:v>
      </x:c>
      <x:c r="B104" s="5" t="str">
        <x:v>Agent Studio</x:v>
      </x:c>
      <x:c r="C104" s="5" t="str">
        <x:v>Feature detail</x:v>
      </x:c>
      <x:c r="D104" s="5" t="str">
        <x:v>Check the workflow before it goes live</x:v>
      </x:c>
      <x:c r="E104" s="5" t="str">
        <x:v>A048</x:v>
      </x:c>
      <x:c r="F104" s="5" t="str">
        <x:v>A workflow test console with sample input, expected output and a reviewable test result.</x:v>
      </x:c>
      <x:c r="G104" s="5" t="str">
        <x:v>Create</x:v>
      </x:c>
      <x:c r="H104" s="5" t="str">
        <x:f>'Production assets'!F53</x:f>
        <x:v>Not started</x:v>
      </x:c>
      <x:c r="I104" s="5" t="str">
        <x:v>Editable SVG/layers + 1200 x 1200 WebP</x:v>
      </x:c>
      <x:c r="J104" s="5" t="str">
        <x:v>Generic workflow illustration</x:v>
      </x:c>
      <x:c r="K104" s="5" t="str">
        <x:v>CSS gradient + live UI</x:v>
      </x:c>
      <x:c r="L104" s="5" t="str">
        <x:v>580 x 580</x:v>
      </x:c>
      <x:c r="M104" s="5" t="str">
        <x:v>Ice blue, white, teal, deep green</x:v>
      </x:c>
      <x:c r="N104" s="5" t="str">
        <x:v>Preserve the existing CSS gradient. Export foreground separately with transparent background. Keep key UI within the central 80%.</x:v>
      </x:c>
      <x:c r="O104" s="5" t="str">
        <x:v>http://localhost:3000/products/agent-studio#testing</x:v>
      </x:c>
    </x:row>
    <x:row r="105" ht="51" customHeight="1">
      <x:c r="A105" s="10" t="str">
        <x:v>P06-17</x:v>
      </x:c>
      <x:c r="B105" s="10" t="str">
        <x:v>Agent Studio</x:v>
      </x:c>
      <x:c r="C105" s="10" t="str">
        <x:v>Feature detail</x:v>
      </x:c>
      <x:c r="D105" s="10" t="str">
        <x:v>Understand what happened, step by step</x:v>
      </x:c>
      <x:c r="E105" s="10" t="str">
        <x:v>A049</x:v>
      </x:c>
      <x:c r="F105" s="10" t="str">
        <x:v>A step-by-step trace with one flagged step and its input and output panels expanded.</x:v>
      </x:c>
      <x:c r="G105" s="10" t="str">
        <x:v>Create</x:v>
      </x:c>
      <x:c r="H105" s="10" t="str">
        <x:f>'Production assets'!F54</x:f>
        <x:v>Not started</x:v>
      </x:c>
      <x:c r="I105" s="10" t="str">
        <x:v>Editable SVG/layers + 1200 x 1200 WebP</x:v>
      </x:c>
      <x:c r="J105" s="10" t="str">
        <x:v>Generic workflow illustration</x:v>
      </x:c>
      <x:c r="K105" s="10" t="str">
        <x:v>CSS gradient + live UI</x:v>
      </x:c>
      <x:c r="L105" s="10" t="str">
        <x:v>532 x 532</x:v>
      </x:c>
      <x:c r="M105" s="10" t="str">
        <x:v>Ice blue, white, teal, deep green</x:v>
      </x:c>
      <x:c r="N105" s="10" t="str">
        <x:v>Preserve the existing CSS gradient. Export foreground separately with transparent background. Keep key UI within the central 80%.</x:v>
      </x:c>
      <x:c r="O105" s="10" t="str">
        <x:v>http://localhost:3000/products/agent-studio#debugging</x:v>
      </x:c>
    </x:row>
    <x:row r="106" ht="51" customHeight="1">
      <x:c r="A106" s="5" t="str">
        <x:v>P06-18</x:v>
      </x:c>
      <x:c r="B106" s="5" t="str">
        <x:v>Agent Studio</x:v>
      </x:c>
      <x:c r="C106" s="5" t="str">
        <x:v>Feature detail</x:v>
      </x:c>
      <x:c r="D106" s="5" t="str">
        <x:v>Turn feedback into a better next run</x:v>
      </x:c>
      <x:c r="E106" s="5" t="str">
        <x:v>A050</x:v>
      </x:c>
      <x:c r="F106" s="5" t="str">
        <x:v>A feedback annotation beside a proposed revision and a comparison test.</x:v>
      </x:c>
      <x:c r="G106" s="5" t="str">
        <x:v>Create</x:v>
      </x:c>
      <x:c r="H106" s="5" t="str">
        <x:f>'Production assets'!F55</x:f>
        <x:v>Not started</x:v>
      </x:c>
      <x:c r="I106" s="5" t="str">
        <x:v>Editable SVG/layers + 1200 x 1200 WebP</x:v>
      </x:c>
      <x:c r="J106" s="5" t="str">
        <x:v>Generic workflow illustration</x:v>
      </x:c>
      <x:c r="K106" s="5" t="str">
        <x:v>CSS gradient + live UI</x:v>
      </x:c>
      <x:c r="L106" s="5" t="str">
        <x:v>580 x 580</x:v>
      </x:c>
      <x:c r="M106" s="5" t="str">
        <x:v>Ice blue, white, teal, deep green</x:v>
      </x:c>
      <x:c r="N106" s="5" t="str">
        <x:v>Preserve the existing CSS gradient. Export foreground separately with transparent background. Keep key UI within the central 80%.</x:v>
      </x:c>
      <x:c r="O106" s="5" t="str">
        <x:v>http://localhost:3000/products/agent-studio#learning</x:v>
      </x:c>
    </x:row>
    <x:row r="107" ht="51" customHeight="1">
      <x:c r="A107" s="10" t="str">
        <x:v>P06-19</x:v>
      </x:c>
      <x:c r="B107" s="10" t="str">
        <x:v>Agent Studio</x:v>
      </x:c>
      <x:c r="C107" s="10" t="str">
        <x:v>Feature detail</x:v>
      </x:c>
      <x:c r="D107" s="10" t="str">
        <x:v>Move from a tested workflow to everyday work</x:v>
      </x:c>
      <x:c r="E107" s="10" t="str">
        <x:v>A051</x:v>
      </x:c>
      <x:c r="F107" s="10" t="str">
        <x:v>A tested workflow moving through a release checklist into a published version, with a rollback option.</x:v>
      </x:c>
      <x:c r="G107" s="10" t="str">
        <x:v>Create</x:v>
      </x:c>
      <x:c r="H107" s="10" t="str">
        <x:f>'Production assets'!F56</x:f>
        <x:v>Not started</x:v>
      </x:c>
      <x:c r="I107" s="10" t="str">
        <x:v>Editable SVG/layers + 1200 x 1200 WebP</x:v>
      </x:c>
      <x:c r="J107" s="10" t="str">
        <x:v>Generic workflow illustration</x:v>
      </x:c>
      <x:c r="K107" s="10" t="str">
        <x:v>CSS gradient + live UI</x:v>
      </x:c>
      <x:c r="L107" s="10" t="str">
        <x:v>532 x 532</x:v>
      </x:c>
      <x:c r="M107" s="10" t="str">
        <x:v>Ice blue, white, teal, deep green</x:v>
      </x:c>
      <x:c r="N107" s="10" t="str">
        <x:v>Preserve the existing CSS gradient. Export foreground separately with transparent background. Keep key UI within the central 80%.</x:v>
      </x:c>
      <x:c r="O107" s="10" t="str">
        <x:v>http://localhost:3000/products/agent-studio#publish</x:v>
      </x:c>
    </x:row>
    <x:row r="108" ht="38" customHeight="1">
      <x:c r="A108" s="5" t="str">
        <x:v>P06-20</x:v>
      </x:c>
      <x:c r="B108" s="5" t="str">
        <x:v>Agent Studio</x:v>
      </x:c>
      <x:c r="C108" s="5" t="str">
        <x:v>Related product thumbnail</x:v>
      </x:c>
      <x:c r="D108" s="5" t="str">
        <x:v>Platform</x:v>
      </x:c>
      <x:c r="E108" s="5" t="str">
        <x:v>A015</x:v>
      </x:c>
      <x:c r="F108" s="5" t="str">
        <x:v>A compact workspace overview linking agents, tools and shared knowledge.</x:v>
      </x:c>
      <x:c r="G108" s="5" t="str">
        <x:v>Create</x:v>
      </x:c>
      <x:c r="H108" s="5" t="str">
        <x:f>'Production assets'!F20</x:f>
        <x:v>Not started</x:v>
      </x:c>
      <x:c r="I108" s="5" t="str">
        <x:v>Editable SVG + 1200 x 1000 WebP</x:v>
      </x:c>
      <x:c r="J108" s="5" t="str">
        <x:v>Generic star on gradient</x:v>
      </x:c>
      <x:c r="K108" s="5" t="str">
        <x:v>/brand/calendly/assistant-hero.svg + star glyph</x:v>
      </x:c>
      <x:c r="L108" s="5" t="str">
        <x:v>227 x 189</x:v>
      </x:c>
      <x:c r="M108" s="5" t="str">
        <x:v>Ice blue, white, teal, deep green</x:v>
      </x:c>
      <x:c r="N108" s="5" t="str">
        <x:v>Create once and reuse across related-product cards and the Platform card rail. Keep the gradient separate.</x:v>
      </x:c>
      <x:c r="O108" s="5" t="str">
        <x:v>http://localhost:3000/products/agent-studio</x:v>
      </x:c>
    </x:row>
    <x:row r="109" ht="38" customHeight="1">
      <x:c r="A109" s="10" t="str">
        <x:v>P06-21</x:v>
      </x:c>
      <x:c r="B109" s="10" t="str">
        <x:v>Agent Studio</x:v>
      </x:c>
      <x:c r="C109" s="10" t="str">
        <x:v>Related product thumbnail</x:v>
      </x:c>
      <x:c r="D109" s="10" t="str">
        <x:v>Integrations</x:v>
      </x:c>
      <x:c r="E109" s="10" t="str">
        <x:v>A006</x:v>
      </x:c>
      <x:c r="F109" s="10" t="str">
        <x:v>A central Innflow node connected to a small set of tool tiles.</x:v>
      </x:c>
      <x:c r="G109" s="10" t="str">
        <x:v>Create</x:v>
      </x:c>
      <x:c r="H109" s="10" t="str">
        <x:f>'Production assets'!F11</x:f>
        <x:v>Not started</x:v>
      </x:c>
      <x:c r="I109" s="10" t="str">
        <x:v>Editable SVG + 1200 x 1000 WebP</x:v>
      </x:c>
      <x:c r="J109" s="10" t="str">
        <x:v>Generic star on gradient</x:v>
      </x:c>
      <x:c r="K109" s="10" t="str">
        <x:v>/brand/calendly/scheduling-hero.svg + star glyph</x:v>
      </x:c>
      <x:c r="L109" s="10" t="str">
        <x:v>227 x 189</x:v>
      </x:c>
      <x:c r="M109" s="10" t="str">
        <x:v>Sky blue, pale aqua, navy</x:v>
      </x:c>
      <x:c r="N109" s="10" t="str">
        <x:v>Create once and reuse across related-product cards and the Platform card rail. Keep the gradient separate.</x:v>
      </x:c>
      <x:c r="O109" s="10" t="str">
        <x:v>http://localhost:3000/products/agent-studio</x:v>
      </x:c>
    </x:row>
    <x:row r="110" ht="38" customHeight="1">
      <x:c r="A110" s="5" t="str">
        <x:v>P06-22</x:v>
      </x:c>
      <x:c r="B110" s="5" t="str">
        <x:v>Agent Studio</x:v>
      </x:c>
      <x:c r="C110" s="5" t="str">
        <x:v>Related product thumbnail</x:v>
      </x:c>
      <x:c r="D110" s="5" t="str">
        <x:v>Agentic Workflows</x:v>
      </x:c>
      <x:c r="E110" s="5" t="str">
        <x:v>A010</x:v>
      </x:c>
      <x:c r="F110" s="5" t="str">
        <x:v>A compact workflow canvas with trigger, branch and action nodes.</x:v>
      </x:c>
      <x:c r="G110" s="5" t="str">
        <x:v>Create</x:v>
      </x:c>
      <x:c r="H110" s="5" t="str">
        <x:f>'Production assets'!F15</x:f>
        <x:v>Not started</x:v>
      </x:c>
      <x:c r="I110" s="5" t="str">
        <x:v>Editable SVG + 1200 x 1000 WebP</x:v>
      </x:c>
      <x:c r="J110" s="5" t="str">
        <x:v>Generic star on gradient</x:v>
      </x:c>
      <x:c r="K110" s="5" t="str">
        <x:v>/brand/calendly/notetaker-hero.svg + star glyph</x:v>
      </x:c>
      <x:c r="L110" s="5" t="str">
        <x:v>227 x 189</x:v>
      </x:c>
      <x:c r="M110" s="5" t="str">
        <x:v>Navy, blue, blush, lavender</x:v>
      </x:c>
      <x:c r="N110" s="5" t="str">
        <x:v>Create once and reuse across related-product cards and the Platform card rail. Keep the gradient separate.</x:v>
      </x:c>
      <x:c r="O110" s="5" t="str">
        <x:v>http://localhost:3000/products/agent-studio</x:v>
      </x:c>
    </x:row>
    <x:row r="111" ht="38" customHeight="1">
      <x:c r="A111" s="10" t="str">
        <x:v>P06-23</x:v>
      </x:c>
      <x:c r="B111" s="10" t="str">
        <x:v>Agent Studio</x:v>
      </x:c>
      <x:c r="C111" s="10" t="str">
        <x:v>Related product thumbnail</x:v>
      </x:c>
      <x:c r="D111" s="10" t="str">
        <x:v>Agent OS</x:v>
      </x:c>
      <x:c r="E111" s="10" t="str">
        <x:v>A011</x:v>
      </x:c>
      <x:c r="F111" s="10" t="str">
        <x:v>A small orchestration graph connecting agents and shared memory.</x:v>
      </x:c>
      <x:c r="G111" s="10" t="str">
        <x:v>Create</x:v>
      </x:c>
      <x:c r="H111" s="10" t="str">
        <x:f>'Production assets'!F16</x:f>
        <x:v>Not started</x:v>
      </x:c>
      <x:c r="I111" s="10" t="str">
        <x:v>Editable SVG + 1200 x 1000 WebP</x:v>
      </x:c>
      <x:c r="J111" s="10" t="str">
        <x:v>Generic star on gradient</x:v>
      </x:c>
      <x:c r="K111" s="10" t="str">
        <x:v>/brand/calendly/contacts-hero.svg + star glyph</x:v>
      </x:c>
      <x:c r="L111" s="10" t="str">
        <x:v>227 x 189</x:v>
      </x:c>
      <x:c r="M111" s="10" t="str">
        <x:v>Cream, peach, pink, blue</x:v>
      </x:c>
      <x:c r="N111" s="10" t="str">
        <x:v>Create once and reuse across related-product cards and the Platform card rail. Keep the gradient separate.</x:v>
      </x:c>
      <x:c r="O111" s="10" t="str">
        <x:v>http://localhost:3000/products/agent-studio</x:v>
      </x:c>
    </x:row>
    <x:row r="112" ht="38" customHeight="1">
      <x:c r="A112" s="5" t="str">
        <x:v>P06-24</x:v>
      </x:c>
      <x:c r="B112" s="5" t="str">
        <x:v>Agent Studio</x:v>
      </x:c>
      <x:c r="C112" s="5" t="str">
        <x:v>Related product thumbnail</x:v>
      </x:c>
      <x:c r="D112" s="5" t="str">
        <x:v>AI Agents</x:v>
      </x:c>
      <x:c r="E112" s="5" t="str">
        <x:v>A012</x:v>
      </x:c>
      <x:c r="F112" s="5" t="str">
        <x:v>An agent task card with linked evidence and a proposed next action.</x:v>
      </x:c>
      <x:c r="G112" s="5" t="str">
        <x:v>Create</x:v>
      </x:c>
      <x:c r="H112" s="5" t="str">
        <x:f>'Production assets'!F17</x:f>
        <x:v>Not started</x:v>
      </x:c>
      <x:c r="I112" s="5" t="str">
        <x:v>Editable SVG + 1200 x 1000 WebP</x:v>
      </x:c>
      <x:c r="J112" s="5" t="str">
        <x:v>Generic star on gradient</x:v>
      </x:c>
      <x:c r="K112" s="5" t="str">
        <x:v>/brand/calendly/payments-hero.svg + star glyph</x:v>
      </x:c>
      <x:c r="L112" s="5" t="str">
        <x:v>227 x 189</x:v>
      </x:c>
      <x:c r="M112" s="5" t="str">
        <x:v>Pale mint, aqua, blue, navy</x:v>
      </x:c>
      <x:c r="N112" s="5" t="str">
        <x:v>Create once and reuse across related-product cards and the Platform card rail. Keep the gradient separate.</x:v>
      </x:c>
      <x:c r="O112" s="5" t="str">
        <x:v>http://localhost:3000/products/agent-studio</x:v>
      </x:c>
    </x:row>
    <x:row r="113" ht="38" customHeight="1">
      <x:c r="A113" s="10" t="str">
        <x:v>P07-01</x:v>
      </x:c>
      <x:c r="B113" s="10" t="str">
        <x:v>Agent Skills</x:v>
      </x:c>
      <x:c r="C113" s="10" t="str">
        <x:v>Hero background</x:v>
      </x:c>
      <x:c r="D113" s="10" t="str">
        <x:v>Start with a skill. Make it your own.</x:v>
      </x:c>
      <x:c r="E113" s="10" t="str">
        <x:v>A014</x:v>
      </x:c>
      <x:c r="F113" s="10" t="str">
        <x:v>Reuse the existing Paper SVG as a separate background layer. No new background required.</x:v>
      </x:c>
      <x:c r="G113" s="10" t="str">
        <x:v>Reuse</x:v>
      </x:c>
      <x:c r="H113" s="10" t="str">
        <x:f>'Production assets'!F19</x:f>
        <x:v>Existing</x:v>
      </x:c>
      <x:c r="I113" s="10" t="str">
        <x:v>Existing scalable SVG</x:v>
      </x:c>
      <x:c r="J113" s="10" t="str">
        <x:v>Existing background</x:v>
      </x:c>
      <x:c r="K113" s="10" t="str">
        <x:v>/brand/calendly/scheduling-hero.svg</x:v>
      </x:c>
      <x:c r="L113" s="10" t="str">
        <x:v>1387 x 776</x:v>
      </x:c>
      <x:c r="M113" s="10" t="str">
        <x:v>Sky blue, pale aqua, navy</x:v>
      </x:c>
      <x:c r="N113" s="10" t="str">
        <x:v>Shared by every page using this style.</x:v>
      </x:c>
      <x:c r="O113" s="10" t="str">
        <x:v>http://localhost:3000/skills</x:v>
      </x:c>
    </x:row>
    <x:row r="114" ht="38" customHeight="1">
      <x:c r="A114" s="5" t="str">
        <x:v>P07-02</x:v>
      </x:c>
      <x:c r="B114" s="5" t="str">
        <x:v>Agent Skills</x:v>
      </x:c>
      <x:c r="C114" s="5" t="str">
        <x:v>Related product thumbnail</x:v>
      </x:c>
      <x:c r="D114" s="5" t="str">
        <x:v>Platform</x:v>
      </x:c>
      <x:c r="E114" s="5" t="str">
        <x:v>A015</x:v>
      </x:c>
      <x:c r="F114" s="5" t="str">
        <x:v>A compact workspace overview linking agents, tools and shared knowledge.</x:v>
      </x:c>
      <x:c r="G114" s="5" t="str">
        <x:v>Create</x:v>
      </x:c>
      <x:c r="H114" s="5" t="str">
        <x:f>'Production assets'!F20</x:f>
        <x:v>Not started</x:v>
      </x:c>
      <x:c r="I114" s="5" t="str">
        <x:v>Editable SVG + 1200 x 1000 WebP</x:v>
      </x:c>
      <x:c r="J114" s="5" t="str">
        <x:v>Generic star on gradient</x:v>
      </x:c>
      <x:c r="K114" s="5" t="str">
        <x:v>/brand/calendly/assistant-hero.svg + star glyph</x:v>
      </x:c>
      <x:c r="L114" s="5" t="str">
        <x:v>227 x 189</x:v>
      </x:c>
      <x:c r="M114" s="5" t="str">
        <x:v>Ice blue, white, teal, deep green</x:v>
      </x:c>
      <x:c r="N114" s="5" t="str">
        <x:v>Create once and reuse across related-product cards and the Platform card rail. Keep the gradient separate.</x:v>
      </x:c>
      <x:c r="O114" s="5" t="str">
        <x:v>http://localhost:3000/skills</x:v>
      </x:c>
    </x:row>
    <x:row r="115" ht="38" customHeight="1">
      <x:c r="A115" s="10" t="str">
        <x:v>P07-03</x:v>
      </x:c>
      <x:c r="B115" s="10" t="str">
        <x:v>Agent Skills</x:v>
      </x:c>
      <x:c r="C115" s="10" t="str">
        <x:v>Related product thumbnail</x:v>
      </x:c>
      <x:c r="D115" s="10" t="str">
        <x:v>Integrations</x:v>
      </x:c>
      <x:c r="E115" s="10" t="str">
        <x:v>A006</x:v>
      </x:c>
      <x:c r="F115" s="10" t="str">
        <x:v>A central Innflow node connected to a small set of tool tiles.</x:v>
      </x:c>
      <x:c r="G115" s="10" t="str">
        <x:v>Create</x:v>
      </x:c>
      <x:c r="H115" s="10" t="str">
        <x:f>'Production assets'!F11</x:f>
        <x:v>Not started</x:v>
      </x:c>
      <x:c r="I115" s="10" t="str">
        <x:v>Editable SVG + 1200 x 1000 WebP</x:v>
      </x:c>
      <x:c r="J115" s="10" t="str">
        <x:v>Generic star on gradient</x:v>
      </x:c>
      <x:c r="K115" s="10" t="str">
        <x:v>/brand/calendly/scheduling-hero.svg + star glyph</x:v>
      </x:c>
      <x:c r="L115" s="10" t="str">
        <x:v>227 x 189</x:v>
      </x:c>
      <x:c r="M115" s="10" t="str">
        <x:v>Sky blue, pale aqua, navy</x:v>
      </x:c>
      <x:c r="N115" s="10" t="str">
        <x:v>Create once and reuse across related-product cards and the Platform card rail. Keep the gradient separate.</x:v>
      </x:c>
      <x:c r="O115" s="10" t="str">
        <x:v>http://localhost:3000/skills</x:v>
      </x:c>
    </x:row>
    <x:row r="116" ht="38" customHeight="1">
      <x:c r="A116" s="5" t="str">
        <x:v>P07-04</x:v>
      </x:c>
      <x:c r="B116" s="5" t="str">
        <x:v>Agent Skills</x:v>
      </x:c>
      <x:c r="C116" s="5" t="str">
        <x:v>Related product thumbnail</x:v>
      </x:c>
      <x:c r="D116" s="5" t="str">
        <x:v>Agentic Workflows</x:v>
      </x:c>
      <x:c r="E116" s="5" t="str">
        <x:v>A010</x:v>
      </x:c>
      <x:c r="F116" s="5" t="str">
        <x:v>A compact workflow canvas with trigger, branch and action nodes.</x:v>
      </x:c>
      <x:c r="G116" s="5" t="str">
        <x:v>Create</x:v>
      </x:c>
      <x:c r="H116" s="5" t="str">
        <x:f>'Production assets'!F15</x:f>
        <x:v>Not started</x:v>
      </x:c>
      <x:c r="I116" s="5" t="str">
        <x:v>Editable SVG + 1200 x 1000 WebP</x:v>
      </x:c>
      <x:c r="J116" s="5" t="str">
        <x:v>Generic star on gradient</x:v>
      </x:c>
      <x:c r="K116" s="5" t="str">
        <x:v>/brand/calendly/notetaker-hero.svg + star glyph</x:v>
      </x:c>
      <x:c r="L116" s="5" t="str">
        <x:v>227 x 189</x:v>
      </x:c>
      <x:c r="M116" s="5" t="str">
        <x:v>Navy, blue, blush, lavender</x:v>
      </x:c>
      <x:c r="N116" s="5" t="str">
        <x:v>Create once and reuse across related-product cards and the Platform card rail. Keep the gradient separate.</x:v>
      </x:c>
      <x:c r="O116" s="5" t="str">
        <x:v>http://localhost:3000/skills</x:v>
      </x:c>
    </x:row>
    <x:row r="117" ht="38" customHeight="1">
      <x:c r="A117" s="10" t="str">
        <x:v>P07-05</x:v>
      </x:c>
      <x:c r="B117" s="10" t="str">
        <x:v>Agent Skills</x:v>
      </x:c>
      <x:c r="C117" s="10" t="str">
        <x:v>Related product thumbnail</x:v>
      </x:c>
      <x:c r="D117" s="10" t="str">
        <x:v>Agent OS</x:v>
      </x:c>
      <x:c r="E117" s="10" t="str">
        <x:v>A011</x:v>
      </x:c>
      <x:c r="F117" s="10" t="str">
        <x:v>A small orchestration graph connecting agents and shared memory.</x:v>
      </x:c>
      <x:c r="G117" s="10" t="str">
        <x:v>Create</x:v>
      </x:c>
      <x:c r="H117" s="10" t="str">
        <x:f>'Production assets'!F16</x:f>
        <x:v>Not started</x:v>
      </x:c>
      <x:c r="I117" s="10" t="str">
        <x:v>Editable SVG + 1200 x 1000 WebP</x:v>
      </x:c>
      <x:c r="J117" s="10" t="str">
        <x:v>Generic star on gradient</x:v>
      </x:c>
      <x:c r="K117" s="10" t="str">
        <x:v>/brand/calendly/contacts-hero.svg + star glyph</x:v>
      </x:c>
      <x:c r="L117" s="10" t="str">
        <x:v>227 x 189</x:v>
      </x:c>
      <x:c r="M117" s="10" t="str">
        <x:v>Cream, peach, pink, blue</x:v>
      </x:c>
      <x:c r="N117" s="10" t="str">
        <x:v>Create once and reuse across related-product cards and the Platform card rail. Keep the gradient separate.</x:v>
      </x:c>
      <x:c r="O117" s="10" t="str">
        <x:v>http://localhost:3000/skills</x:v>
      </x:c>
    </x:row>
    <x:row r="118" ht="38" customHeight="1">
      <x:c r="A118" s="5" t="str">
        <x:v>P07-06</x:v>
      </x:c>
      <x:c r="B118" s="5" t="str">
        <x:v>Agent Skills</x:v>
      </x:c>
      <x:c r="C118" s="5" t="str">
        <x:v>Related product thumbnail</x:v>
      </x:c>
      <x:c r="D118" s="5" t="str">
        <x:v>AI Agents</x:v>
      </x:c>
      <x:c r="E118" s="5" t="str">
        <x:v>A012</x:v>
      </x:c>
      <x:c r="F118" s="5" t="str">
        <x:v>An agent task card with linked evidence and a proposed next action.</x:v>
      </x:c>
      <x:c r="G118" s="5" t="str">
        <x:v>Create</x:v>
      </x:c>
      <x:c r="H118" s="5" t="str">
        <x:f>'Production assets'!F17</x:f>
        <x:v>Not started</x:v>
      </x:c>
      <x:c r="I118" s="5" t="str">
        <x:v>Editable SVG + 1200 x 1000 WebP</x:v>
      </x:c>
      <x:c r="J118" s="5" t="str">
        <x:v>Generic star on gradient</x:v>
      </x:c>
      <x:c r="K118" s="5" t="str">
        <x:v>/brand/calendly/payments-hero.svg + star glyph</x:v>
      </x:c>
      <x:c r="L118" s="5" t="str">
        <x:v>227 x 189</x:v>
      </x:c>
      <x:c r="M118" s="5" t="str">
        <x:v>Pale mint, aqua, blue, navy</x:v>
      </x:c>
      <x:c r="N118" s="5" t="str">
        <x:v>Create once and reuse across related-product cards and the Platform card rail. Keep the gradient separate.</x:v>
      </x:c>
      <x:c r="O118" s="5" t="str">
        <x:v>http://localhost:3000/skills</x:v>
      </x:c>
    </x:row>
    <x:row r="119" ht="38" customHeight="1">
      <x:c r="A119" s="10" t="str">
        <x:v>P08-01</x:v>
      </x:c>
      <x:c r="B119" s="10" t="str">
        <x:v>Files &amp; Documents</x:v>
      </x:c>
      <x:c r="C119" s="10" t="str">
        <x:v>Hero background</x:v>
      </x:c>
      <x:c r="D119" s="10" t="str">
        <x:v>Keep property files close to the work.</x:v>
      </x:c>
      <x:c r="E119" s="10" t="str">
        <x:v>A016</x:v>
      </x:c>
      <x:c r="F119" s="10" t="str">
        <x:v>Reuse the existing Paper SVG as a separate background layer. No new background required.</x:v>
      </x:c>
      <x:c r="G119" s="10" t="str">
        <x:v>Reuse</x:v>
      </x:c>
      <x:c r="H119" s="10" t="str">
        <x:f>'Production assets'!F21</x:f>
        <x:v>Existing</x:v>
      </x:c>
      <x:c r="I119" s="10" t="str">
        <x:v>Existing scalable SVG</x:v>
      </x:c>
      <x:c r="J119" s="10" t="str">
        <x:v>Existing background</x:v>
      </x:c>
      <x:c r="K119" s="10" t="str">
        <x:v>/brand/calendly/notetaker-hero.svg</x:v>
      </x:c>
      <x:c r="L119" s="10" t="str">
        <x:v>1387 x 776</x:v>
      </x:c>
      <x:c r="M119" s="10" t="str">
        <x:v>Navy, blue, blush, lavender</x:v>
      </x:c>
      <x:c r="N119" s="10" t="str">
        <x:v>Shared by every page using this style.</x:v>
      </x:c>
      <x:c r="O119" s="10" t="str">
        <x:v>http://localhost:3000/files-and-documents</x:v>
      </x:c>
    </x:row>
    <x:row r="120" ht="51" customHeight="1">
      <x:c r="A120" s="5" t="str">
        <x:v>P08-02</x:v>
      </x:c>
      <x:c r="B120" s="5" t="str">
        <x:v>Files &amp; Documents</x:v>
      </x:c>
      <x:c r="C120" s="5" t="str">
        <x:v>Capability overview</x:v>
      </x:c>
      <x:c r="D120" s="5" t="str">
        <x:v>File Uploads</x:v>
      </x:c>
      <x:c r="E120" s="5" t="str">
        <x:v>A052</x:v>
      </x:c>
      <x:c r="F120" s="5" t="str">
        <x:v>An upload tray feeding a file library, with processing state and a newly added document.</x:v>
      </x:c>
      <x:c r="G120" s="5" t="str">
        <x:v>Rework</x:v>
      </x:c>
      <x:c r="H120" s="5" t="str">
        <x:f>'Production assets'!F57</x:f>
        <x:v>Not started</x:v>
      </x:c>
      <x:c r="I120" s="5" t="str">
        <x:v>Editable SVG/layers + 1200 x 1200 WebP</x:v>
      </x:c>
      <x:c r="J120" s="5" t="str">
        <x:v>Photo with layered UI</x:v>
      </x:c>
      <x:c r="K120" s="5" t="str">
        <x:v>/brand/feature-pages/storage/storage-01-file-uploads.webp
/brand/feature-pages/artwork/140-5042.svg</x:v>
      </x:c>
      <x:c r="L120" s="5" t="str">
        <x:v>580 x 580</x:v>
      </x:c>
      <x:c r="M120" s="5" t="str">
        <x:v>Navy, blue, blush, lavender</x:v>
      </x:c>
      <x:c r="N120" s="5" t="str">
        <x:v>Preserve the existing CSS gradient. Export foreground separately with transparent background. Keep key UI within the central 80%. Reuses the first feature detail artwork.</x:v>
      </x:c>
      <x:c r="O120" s="5" t="str">
        <x:v>http://localhost:3000/files-and-documents#file-uploads</x:v>
      </x:c>
    </x:row>
    <x:row r="121" ht="38" customHeight="1">
      <x:c r="A121" s="10" t="str">
        <x:v>P08-03</x:v>
      </x:c>
      <x:c r="B121" s="10" t="str">
        <x:v>Files &amp; Documents</x:v>
      </x:c>
      <x:c r="C121" s="10" t="str">
        <x:v>Product overview</x:v>
      </x:c>
      <x:c r="D121" s="10" t="str">
        <x:v>Give every file a useful place in the workflow.</x:v>
      </x:c>
      <x:c r="E121" s="10" t="str">
        <x:v>A053</x:v>
      </x:c>
      <x:c r="F121" s="10" t="str">
        <x:v>A wide file library with upload, search and document detail panels.</x:v>
      </x:c>
      <x:c r="G121" s="10" t="str">
        <x:v>Rework</x:v>
      </x:c>
      <x:c r="H121" s="10" t="str">
        <x:f>'Production assets'!F58</x:f>
        <x:v>Not started</x:v>
      </x:c>
      <x:c r="I121" s="10" t="str">
        <x:v>Editable layers + 1920 x 620 WebP</x:v>
      </x:c>
      <x:c r="J121" s="10" t="str">
        <x:v>Existing overview photo</x:v>
      </x:c>
      <x:c r="K121" s="10" t="str">
        <x:v>/brand/feature-pages/storage/storage-hero.webp</x:v>
      </x:c>
      <x:c r="L121" s="10" t="str">
        <x:v>960 x 398</x:v>
      </x:c>
      <x:c r="M121" s="10" t="str">
        <x:v>Navy, blue, blush, lavender</x:v>
      </x:c>
      <x:c r="N121" s="10" t="str">
        <x:v>Replace the current overview photo with a product-led composition. Keep its wide framing.</x:v>
      </x:c>
      <x:c r="O121" s="10" t="str">
        <x:v>http://localhost:3000/files-and-documents</x:v>
      </x:c>
    </x:row>
    <x:row r="122" ht="51" customHeight="1">
      <x:c r="A122" s="5" t="str">
        <x:v>P08-04</x:v>
      </x:c>
      <x:c r="B122" s="5" t="str">
        <x:v>Files &amp; Documents</x:v>
      </x:c>
      <x:c r="C122" s="5" t="str">
        <x:v>Feature card</x:v>
      </x:c>
      <x:c r="D122" s="5" t="str">
        <x:v>Organized records</x:v>
      </x:c>
      <x:c r="E122" s="5" t="str">
        <x:v>A054</x:v>
      </x:c>
      <x:c r="F122" s="5" t="str">
        <x:v>A compact set of labeled folders and document cards grouped by project.</x:v>
      </x:c>
      <x:c r="G122" s="5" t="str">
        <x:v>Create</x:v>
      </x:c>
      <x:c r="H122" s="5" t="str">
        <x:f>'Production assets'!F59</x:f>
        <x:v>Not started</x:v>
      </x:c>
      <x:c r="I122" s="5" t="str">
        <x:v>1200 x 1000 WebP crop of shared master</x:v>
      </x:c>
      <x:c r="J122" s="5" t="str">
        <x:v>Text placeholder</x:v>
      </x:c>
      <x:c r="K122" s="5" t="str">
        <x:v>CSS gradient + live UI</x:v>
      </x:c>
      <x:c r="L122" s="5" t="str">
        <x:v>320 x 267</x:v>
      </x:c>
      <x:c r="M122" s="5" t="str">
        <x:v>Navy, blue, blush, lavender</x:v>
      </x:c>
      <x:c r="N122" s="5" t="str">
        <x:v>Preserve the existing CSS gradient. Export foreground separately with transparent background. Keep key UI within the central 80%.</x:v>
      </x:c>
      <x:c r="O122" s="5" t="str">
        <x:v>http://localhost:3000/files-and-documents</x:v>
      </x:c>
    </x:row>
    <x:row r="123" ht="51" customHeight="1">
      <x:c r="A123" s="10" t="str">
        <x:v>P08-05</x:v>
      </x:c>
      <x:c r="B123" s="10" t="str">
        <x:v>Files &amp; Documents</x:v>
      </x:c>
      <x:c r="C123" s="10" t="str">
        <x:v>Feature card</x:v>
      </x:c>
      <x:c r="D123" s="10" t="str">
        <x:v>Focused lookup</x:v>
      </x:c>
      <x:c r="E123" s="10" t="str">
        <x:v>A055</x:v>
      </x:c>
      <x:c r="F123" s="10" t="str">
        <x:v>A search query with one highlighted matching record and a filter chip.</x:v>
      </x:c>
      <x:c r="G123" s="10" t="str">
        <x:v>Create</x:v>
      </x:c>
      <x:c r="H123" s="10" t="str">
        <x:f>'Production assets'!F60</x:f>
        <x:v>Not started</x:v>
      </x:c>
      <x:c r="I123" s="10" t="str">
        <x:v>1200 x 1000 WebP crop of shared master</x:v>
      </x:c>
      <x:c r="J123" s="10" t="str">
        <x:v>Text placeholder</x:v>
      </x:c>
      <x:c r="K123" s="10" t="str">
        <x:v>CSS gradient + live UI</x:v>
      </x:c>
      <x:c r="L123" s="10" t="str">
        <x:v>320 x 267</x:v>
      </x:c>
      <x:c r="M123" s="10" t="str">
        <x:v>Navy, blue, blush, lavender</x:v>
      </x:c>
      <x:c r="N123" s="10" t="str">
        <x:v>Preserve the existing CSS gradient. Export foreground separately with transparent background. Keep key UI within the central 80%.</x:v>
      </x:c>
      <x:c r="O123" s="10" t="str">
        <x:v>http://localhost:3000/files-and-documents</x:v>
      </x:c>
    </x:row>
    <x:row r="124" ht="51" customHeight="1">
      <x:c r="A124" s="5" t="str">
        <x:v>P08-06</x:v>
      </x:c>
      <x:c r="B124" s="5" t="str">
        <x:v>Files &amp; Documents</x:v>
      </x:c>
      <x:c r="C124" s="5" t="str">
        <x:v>Feature card</x:v>
      </x:c>
      <x:c r="D124" s="5" t="str">
        <x:v>Useful context</x:v>
      </x:c>
      <x:c r="E124" s="5" t="str">
        <x:v>A056</x:v>
      </x:c>
      <x:c r="F124" s="5" t="str">
        <x:v>A document card connected to the task and owner that need it.</x:v>
      </x:c>
      <x:c r="G124" s="5" t="str">
        <x:v>Create</x:v>
      </x:c>
      <x:c r="H124" s="5" t="str">
        <x:f>'Production assets'!F61</x:f>
        <x:v>Not started</x:v>
      </x:c>
      <x:c r="I124" s="5" t="str">
        <x:v>1200 x 1000 WebP crop of shared master</x:v>
      </x:c>
      <x:c r="J124" s="5" t="str">
        <x:v>Text placeholder</x:v>
      </x:c>
      <x:c r="K124" s="5" t="str">
        <x:v>CSS gradient + live UI</x:v>
      </x:c>
      <x:c r="L124" s="5" t="str">
        <x:v>320 x 267</x:v>
      </x:c>
      <x:c r="M124" s="5" t="str">
        <x:v>Navy, blue, blush, lavender</x:v>
      </x:c>
      <x:c r="N124" s="5" t="str">
        <x:v>Preserve the existing CSS gradient. Export foreground separately with transparent background. Keep key UI within the central 80%.</x:v>
      </x:c>
      <x:c r="O124" s="5" t="str">
        <x:v>http://localhost:3000/files-and-documents</x:v>
      </x:c>
    </x:row>
    <x:row r="125" ht="51" customHeight="1">
      <x:c r="A125" s="10" t="str">
        <x:v>P08-07</x:v>
      </x:c>
      <x:c r="B125" s="10" t="str">
        <x:v>Files &amp; Documents</x:v>
      </x:c>
      <x:c r="C125" s="10" t="str">
        <x:v>Feature detail</x:v>
      </x:c>
      <x:c r="D125" s="10" t="str">
        <x:v>Bring the right files into view.</x:v>
      </x:c>
      <x:c r="E125" s="10" t="str">
        <x:v>A052</x:v>
      </x:c>
      <x:c r="F125" s="10" t="str">
        <x:v>An upload tray feeding a file library, with processing state and a newly added document.</x:v>
      </x:c>
      <x:c r="G125" s="10" t="str">
        <x:v>Rework</x:v>
      </x:c>
      <x:c r="H125" s="10" t="str">
        <x:f>'Production assets'!F57</x:f>
        <x:v>Not started</x:v>
      </x:c>
      <x:c r="I125" s="10" t="str">
        <x:v>Editable SVG/layers + 1200 x 1200 WebP</x:v>
      </x:c>
      <x:c r="J125" s="10" t="str">
        <x:v>Photo with layered UI</x:v>
      </x:c>
      <x:c r="K125" s="10" t="str">
        <x:v>/brand/feature-pages/storage/storage-01-file-uploads.webp
/brand/feature-pages/artwork/140-5042.svg</x:v>
      </x:c>
      <x:c r="L125" s="10" t="str">
        <x:v>580 x 580</x:v>
      </x:c>
      <x:c r="M125" s="10" t="str">
        <x:v>Navy, blue, blush, lavender</x:v>
      </x:c>
      <x:c r="N125" s="10" t="str">
        <x:v>Preserve the existing CSS gradient. Export foreground separately with transparent background. Keep key UI within the central 80%.</x:v>
      </x:c>
      <x:c r="O125" s="10" t="str">
        <x:v>http://localhost:3000/files-and-documents#file-uploads</x:v>
      </x:c>
    </x:row>
    <x:row r="126" ht="51" customHeight="1">
      <x:c r="A126" s="5" t="str">
        <x:v>P08-08</x:v>
      </x:c>
      <x:c r="B126" s="5" t="str">
        <x:v>Files &amp; Documents</x:v>
      </x:c>
      <x:c r="C126" s="5" t="str">
        <x:v>Feature detail</x:v>
      </x:c>
      <x:c r="D126" s="5" t="str">
        <x:v>Narrow the list with context.</x:v>
      </x:c>
      <x:c r="E126" s="5" t="str">
        <x:v>A057</x:v>
      </x:c>
      <x:c r="F126" s="5" t="str">
        <x:v>A file list narrowing through owner, type and project filters with the active filter chips visible.</x:v>
      </x:c>
      <x:c r="G126" s="5" t="str">
        <x:v>Rework</x:v>
      </x:c>
      <x:c r="H126" s="5" t="str">
        <x:f>'Production assets'!F62</x:f>
        <x:v>Not started</x:v>
      </x:c>
      <x:c r="I126" s="5" t="str">
        <x:v>Editable SVG/layers + 1200 x 1200 WebP</x:v>
      </x:c>
      <x:c r="J126" s="5" t="str">
        <x:v>Photo with layered UI</x:v>
      </x:c>
      <x:c r="K126" s="5" t="str">
        <x:v>/brand/feature-pages/storage/storage-02-file-filters.webp
/brand/feature-pages/artwork/140-5064.svg</x:v>
      </x:c>
      <x:c r="L126" s="5" t="str">
        <x:v>532 x 532</x:v>
      </x:c>
      <x:c r="M126" s="5" t="str">
        <x:v>Navy, blue, blush, lavender</x:v>
      </x:c>
      <x:c r="N126" s="5" t="str">
        <x:v>Preserve the existing CSS gradient. Export foreground separately with transparent background. Keep key UI within the central 80%.</x:v>
      </x:c>
      <x:c r="O126" s="5" t="str">
        <x:v>http://localhost:3000/files-and-documents#file-filters</x:v>
      </x:c>
    </x:row>
    <x:row r="127" ht="51" customHeight="1">
      <x:c r="A127" s="10" t="str">
        <x:v>P08-09</x:v>
      </x:c>
      <x:c r="B127" s="10" t="str">
        <x:v>Files &amp; Documents</x:v>
      </x:c>
      <x:c r="C127" s="10" t="str">
        <x:v>Feature detail</x:v>
      </x:c>
      <x:c r="D127" s="10" t="str">
        <x:v>Find a clearer starting point.</x:v>
      </x:c>
      <x:c r="E127" s="10" t="str">
        <x:v>A058</x:v>
      </x:c>
      <x:c r="F127" s="10" t="str">
        <x:v>A search field above a short list of matching files with relevant text excerpts.</x:v>
      </x:c>
      <x:c r="G127" s="10" t="str">
        <x:v>Rework</x:v>
      </x:c>
      <x:c r="H127" s="10" t="str">
        <x:f>'Production assets'!F63</x:f>
        <x:v>Not started</x:v>
      </x:c>
      <x:c r="I127" s="10" t="str">
        <x:v>Editable SVG/layers + 1200 x 1200 WebP</x:v>
      </x:c>
      <x:c r="J127" s="10" t="str">
        <x:v>Photo with layered UI</x:v>
      </x:c>
      <x:c r="K127" s="10" t="str">
        <x:v>/brand/feature-pages/storage/storage-03-library-search.webp
/brand/feature-pages/artwork/140-5116.svg</x:v>
      </x:c>
      <x:c r="L127" s="10" t="str">
        <x:v>580 x 580</x:v>
      </x:c>
      <x:c r="M127" s="10" t="str">
        <x:v>Navy, blue, blush, lavender</x:v>
      </x:c>
      <x:c r="N127" s="10" t="str">
        <x:v>Preserve the existing CSS gradient. Export foreground separately with transparent background. Keep key UI within the central 80%.</x:v>
      </x:c>
      <x:c r="O127" s="10" t="str">
        <x:v>http://localhost:3000/files-and-documents#library-search</x:v>
      </x:c>
    </x:row>
    <x:row r="128" ht="51" customHeight="1">
      <x:c r="A128" s="5" t="str">
        <x:v>P08-10</x:v>
      </x:c>
      <x:c r="B128" s="5" t="str">
        <x:v>Files &amp; Documents</x:v>
      </x:c>
      <x:c r="C128" s="5" t="str">
        <x:v>Feature detail</x:v>
      </x:c>
      <x:c r="D128" s="5" t="str">
        <x:v>Keep the details with the document.</x:v>
      </x:c>
      <x:c r="E128" s="5" t="str">
        <x:v>A059</x:v>
      </x:c>
      <x:c r="F128" s="5" t="str">
        <x:v>A document preview beside its owner, tags, source and linked workflow details.</x:v>
      </x:c>
      <x:c r="G128" s="5" t="str">
        <x:v>Rework</x:v>
      </x:c>
      <x:c r="H128" s="5" t="str">
        <x:f>'Production assets'!F64</x:f>
        <x:v>Not started</x:v>
      </x:c>
      <x:c r="I128" s="5" t="str">
        <x:v>Editable SVG/layers + 1200 x 1200 WebP</x:v>
      </x:c>
      <x:c r="J128" s="5" t="str">
        <x:v>Photo with layered UI</x:v>
      </x:c>
      <x:c r="K128" s="5" t="str">
        <x:v>/brand/feature-pages/storage/storage-04-file-details.webp
/brand/feature-pages/artwork/140-5166.svg</x:v>
      </x:c>
      <x:c r="L128" s="5" t="str">
        <x:v>532 x 532</x:v>
      </x:c>
      <x:c r="M128" s="5" t="str">
        <x:v>Navy, blue, blush, lavender</x:v>
      </x:c>
      <x:c r="N128" s="5" t="str">
        <x:v>Preserve the existing CSS gradient. Export foreground separately with transparent background. Keep key UI within the central 80%.</x:v>
      </x:c>
      <x:c r="O128" s="5" t="str">
        <x:v>http://localhost:3000/files-and-documents#file-details</x:v>
      </x:c>
    </x:row>
    <x:row r="129" ht="38" customHeight="1">
      <x:c r="A129" s="10" t="str">
        <x:v>P08-11</x:v>
      </x:c>
      <x:c r="B129" s="10" t="str">
        <x:v>Files &amp; Documents</x:v>
      </x:c>
      <x:c r="C129" s="10" t="str">
        <x:v>Related product thumbnail</x:v>
      </x:c>
      <x:c r="D129" s="10" t="str">
        <x:v>Platform</x:v>
      </x:c>
      <x:c r="E129" s="10" t="str">
        <x:v>A015</x:v>
      </x:c>
      <x:c r="F129" s="10" t="str">
        <x:v>A compact workspace overview linking agents, tools and shared knowledge.</x:v>
      </x:c>
      <x:c r="G129" s="10" t="str">
        <x:v>Create</x:v>
      </x:c>
      <x:c r="H129" s="10" t="str">
        <x:f>'Production assets'!F20</x:f>
        <x:v>Not started</x:v>
      </x:c>
      <x:c r="I129" s="10" t="str">
        <x:v>Editable SVG + 1200 x 1000 WebP</x:v>
      </x:c>
      <x:c r="J129" s="10" t="str">
        <x:v>Generic star on gradient</x:v>
      </x:c>
      <x:c r="K129" s="10" t="str">
        <x:v>/brand/calendly/assistant-hero.svg + star glyph</x:v>
      </x:c>
      <x:c r="L129" s="10" t="str">
        <x:v>227 x 189</x:v>
      </x:c>
      <x:c r="M129" s="10" t="str">
        <x:v>Ice blue, white, teal, deep green</x:v>
      </x:c>
      <x:c r="N129" s="10" t="str">
        <x:v>Create once and reuse across related-product cards and the Platform card rail. Keep the gradient separate.</x:v>
      </x:c>
      <x:c r="O129" s="10" t="str">
        <x:v>http://localhost:3000/files-and-documents</x:v>
      </x:c>
    </x:row>
    <x:row r="130" ht="38" customHeight="1">
      <x:c r="A130" s="5" t="str">
        <x:v>P08-12</x:v>
      </x:c>
      <x:c r="B130" s="5" t="str">
        <x:v>Files &amp; Documents</x:v>
      </x:c>
      <x:c r="C130" s="5" t="str">
        <x:v>Related product thumbnail</x:v>
      </x:c>
      <x:c r="D130" s="5" t="str">
        <x:v>Integrations</x:v>
      </x:c>
      <x:c r="E130" s="5" t="str">
        <x:v>A006</x:v>
      </x:c>
      <x:c r="F130" s="5" t="str">
        <x:v>A central Innflow node connected to a small set of tool tiles.</x:v>
      </x:c>
      <x:c r="G130" s="5" t="str">
        <x:v>Create</x:v>
      </x:c>
      <x:c r="H130" s="5" t="str">
        <x:f>'Production assets'!F11</x:f>
        <x:v>Not started</x:v>
      </x:c>
      <x:c r="I130" s="5" t="str">
        <x:v>Editable SVG + 1200 x 1000 WebP</x:v>
      </x:c>
      <x:c r="J130" s="5" t="str">
        <x:v>Generic star on gradient</x:v>
      </x:c>
      <x:c r="K130" s="5" t="str">
        <x:v>/brand/calendly/scheduling-hero.svg + star glyph</x:v>
      </x:c>
      <x:c r="L130" s="5" t="str">
        <x:v>227 x 189</x:v>
      </x:c>
      <x:c r="M130" s="5" t="str">
        <x:v>Sky blue, pale aqua, navy</x:v>
      </x:c>
      <x:c r="N130" s="5" t="str">
        <x:v>Create once and reuse across related-product cards and the Platform card rail. Keep the gradient separate.</x:v>
      </x:c>
      <x:c r="O130" s="5" t="str">
        <x:v>http://localhost:3000/files-and-documents</x:v>
      </x:c>
    </x:row>
    <x:row r="131" ht="38" customHeight="1">
      <x:c r="A131" s="10" t="str">
        <x:v>P08-13</x:v>
      </x:c>
      <x:c r="B131" s="10" t="str">
        <x:v>Files &amp; Documents</x:v>
      </x:c>
      <x:c r="C131" s="10" t="str">
        <x:v>Related product thumbnail</x:v>
      </x:c>
      <x:c r="D131" s="10" t="str">
        <x:v>Agentic Workflows</x:v>
      </x:c>
      <x:c r="E131" s="10" t="str">
        <x:v>A010</x:v>
      </x:c>
      <x:c r="F131" s="10" t="str">
        <x:v>A compact workflow canvas with trigger, branch and action nodes.</x:v>
      </x:c>
      <x:c r="G131" s="10" t="str">
        <x:v>Create</x:v>
      </x:c>
      <x:c r="H131" s="10" t="str">
        <x:f>'Production assets'!F15</x:f>
        <x:v>Not started</x:v>
      </x:c>
      <x:c r="I131" s="10" t="str">
        <x:v>Editable SVG + 1200 x 1000 WebP</x:v>
      </x:c>
      <x:c r="J131" s="10" t="str">
        <x:v>Generic star on gradient</x:v>
      </x:c>
      <x:c r="K131" s="10" t="str">
        <x:v>/brand/calendly/notetaker-hero.svg + star glyph</x:v>
      </x:c>
      <x:c r="L131" s="10" t="str">
        <x:v>227 x 189</x:v>
      </x:c>
      <x:c r="M131" s="10" t="str">
        <x:v>Navy, blue, blush, lavender</x:v>
      </x:c>
      <x:c r="N131" s="10" t="str">
        <x:v>Create once and reuse across related-product cards and the Platform card rail. Keep the gradient separate.</x:v>
      </x:c>
      <x:c r="O131" s="10" t="str">
        <x:v>http://localhost:3000/files-and-documents</x:v>
      </x:c>
    </x:row>
    <x:row r="132" ht="38" customHeight="1">
      <x:c r="A132" s="5" t="str">
        <x:v>P08-14</x:v>
      </x:c>
      <x:c r="B132" s="5" t="str">
        <x:v>Files &amp; Documents</x:v>
      </x:c>
      <x:c r="C132" s="5" t="str">
        <x:v>Related product thumbnail</x:v>
      </x:c>
      <x:c r="D132" s="5" t="str">
        <x:v>Agent OS</x:v>
      </x:c>
      <x:c r="E132" s="5" t="str">
        <x:v>A011</x:v>
      </x:c>
      <x:c r="F132" s="5" t="str">
        <x:v>A small orchestration graph connecting agents and shared memory.</x:v>
      </x:c>
      <x:c r="G132" s="5" t="str">
        <x:v>Create</x:v>
      </x:c>
      <x:c r="H132" s="5" t="str">
        <x:f>'Production assets'!F16</x:f>
        <x:v>Not started</x:v>
      </x:c>
      <x:c r="I132" s="5" t="str">
        <x:v>Editable SVG + 1200 x 1000 WebP</x:v>
      </x:c>
      <x:c r="J132" s="5" t="str">
        <x:v>Generic star on gradient</x:v>
      </x:c>
      <x:c r="K132" s="5" t="str">
        <x:v>/brand/calendly/contacts-hero.svg + star glyph</x:v>
      </x:c>
      <x:c r="L132" s="5" t="str">
        <x:v>227 x 189</x:v>
      </x:c>
      <x:c r="M132" s="5" t="str">
        <x:v>Cream, peach, pink, blue</x:v>
      </x:c>
      <x:c r="N132" s="5" t="str">
        <x:v>Create once and reuse across related-product cards and the Platform card rail. Keep the gradient separate.</x:v>
      </x:c>
      <x:c r="O132" s="5" t="str">
        <x:v>http://localhost:3000/files-and-documents</x:v>
      </x:c>
    </x:row>
    <x:row r="133" ht="38" customHeight="1">
      <x:c r="A133" s="10" t="str">
        <x:v>P08-15</x:v>
      </x:c>
      <x:c r="B133" s="10" t="str">
        <x:v>Files &amp; Documents</x:v>
      </x:c>
      <x:c r="C133" s="10" t="str">
        <x:v>Related product thumbnail</x:v>
      </x:c>
      <x:c r="D133" s="10" t="str">
        <x:v>AI Agents</x:v>
      </x:c>
      <x:c r="E133" s="10" t="str">
        <x:v>A012</x:v>
      </x:c>
      <x:c r="F133" s="10" t="str">
        <x:v>An agent task card with linked evidence and a proposed next action.</x:v>
      </x:c>
      <x:c r="G133" s="10" t="str">
        <x:v>Create</x:v>
      </x:c>
      <x:c r="H133" s="10" t="str">
        <x:f>'Production assets'!F17</x:f>
        <x:v>Not started</x:v>
      </x:c>
      <x:c r="I133" s="10" t="str">
        <x:v>Editable SVG + 1200 x 1000 WebP</x:v>
      </x:c>
      <x:c r="J133" s="10" t="str">
        <x:v>Generic star on gradient</x:v>
      </x:c>
      <x:c r="K133" s="10" t="str">
        <x:v>/brand/calendly/payments-hero.svg + star glyph</x:v>
      </x:c>
      <x:c r="L133" s="10" t="str">
        <x:v>227 x 189</x:v>
      </x:c>
      <x:c r="M133" s="10" t="str">
        <x:v>Pale mint, aqua, blue, navy</x:v>
      </x:c>
      <x:c r="N133" s="10" t="str">
        <x:v>Create once and reuse across related-product cards and the Platform card rail. Keep the gradient separate.</x:v>
      </x:c>
      <x:c r="O133" s="10" t="str">
        <x:v>http://localhost:3000/files-and-documents</x:v>
      </x:c>
    </x:row>
    <x:row r="134" ht="38" customHeight="1">
      <x:c r="A134" s="5" t="str">
        <x:v>P09-01</x:v>
      </x:c>
      <x:c r="B134" s="5" t="str">
        <x:v>AI Website Builder</x:v>
      </x:c>
      <x:c r="C134" s="5" t="str">
        <x:v>Hero background</x:v>
      </x:c>
      <x:c r="D134" s="5" t="str">
        <x:v>Give your properties a place online.</x:v>
      </x:c>
      <x:c r="E134" s="5" t="str">
        <x:v>A025</x:v>
      </x:c>
      <x:c r="F134" s="5" t="str">
        <x:v>Reuse the existing Paper SVG as a separate background layer. No new background required.</x:v>
      </x:c>
      <x:c r="G134" s="5" t="str">
        <x:v>Reuse</x:v>
      </x:c>
      <x:c r="H134" s="5" t="str">
        <x:f>'Production assets'!F30</x:f>
        <x:v>Existing</x:v>
      </x:c>
      <x:c r="I134" s="5" t="str">
        <x:v>Existing scalable SVG</x:v>
      </x:c>
      <x:c r="J134" s="5" t="str">
        <x:v>Existing background</x:v>
      </x:c>
      <x:c r="K134" s="5" t="str">
        <x:v>/brand/calendly/contacts-hero.svg</x:v>
      </x:c>
      <x:c r="L134" s="5" t="str">
        <x:v>1387 x 776</x:v>
      </x:c>
      <x:c r="M134" s="5" t="str">
        <x:v>Cream, peach, pink, blue</x:v>
      </x:c>
      <x:c r="N134" s="5" t="str">
        <x:v>Shared by every page using this style.</x:v>
      </x:c>
      <x:c r="O134" s="5" t="str">
        <x:v>http://localhost:3000/features/website</x:v>
      </x:c>
    </x:row>
    <x:row r="135" ht="51" customHeight="1">
      <x:c r="A135" s="10" t="str">
        <x:v>P09-02</x:v>
      </x:c>
      <x:c r="B135" s="10" t="str">
        <x:v>AI Website Builder</x:v>
      </x:c>
      <x:c r="C135" s="10" t="str">
        <x:v>Capability overview</x:v>
      </x:c>
      <x:c r="D135" s="10" t="str">
        <x:v>Website Builder</x:v>
      </x:c>
      <x:c r="E135" s="10" t="str">
        <x:v>A060</x:v>
      </x:c>
      <x:c r="F135" s="10" t="str">
        <x:v>A website editor with page sections, a property preview and a simple content settings panel.</x:v>
      </x:c>
      <x:c r="G135" s="10" t="str">
        <x:v>Rework</x:v>
      </x:c>
      <x:c r="H135" s="10" t="str">
        <x:f>'Production assets'!F65</x:f>
        <x:v>Not started</x:v>
      </x:c>
      <x:c r="I135" s="10" t="str">
        <x:v>Editable SVG/layers + 1200 x 1200 WebP</x:v>
      </x:c>
      <x:c r="J135" s="10" t="str">
        <x:v>Photo with layered UI</x:v>
      </x:c>
      <x:c r="K135" s="10" t="str">
        <x:v>/brand/feature-pages/websites/websites-01-website-builder.webp
/brand/feature-pages/artwork/146-5284.svg</x:v>
      </x:c>
      <x:c r="L135" s="10" t="str">
        <x:v>580 x 580</x:v>
      </x:c>
      <x:c r="M135" s="10" t="str">
        <x:v>Cream, peach, pink, blue</x:v>
      </x:c>
      <x:c r="N135" s="10" t="str">
        <x:v>Preserve the existing CSS gradient. Export foreground separately with transparent background. Keep key UI within the central 80%. Reuses the first feature detail artwork.</x:v>
      </x:c>
      <x:c r="O135" s="10" t="str">
        <x:v>http://localhost:3000/features/website#website-builder</x:v>
      </x:c>
    </x:row>
    <x:row r="136" ht="51" customHeight="1">
      <x:c r="A136" s="5" t="str">
        <x:v>P09-03</x:v>
      </x:c>
      <x:c r="B136" s="5" t="str">
        <x:v>AI Website Builder</x:v>
      </x:c>
      <x:c r="C136" s="5" t="str">
        <x:v>Feature card</x:v>
      </x:c>
      <x:c r="D136" s="5" t="str">
        <x:v>A clear first impression</x:v>
      </x:c>
      <x:c r="E136" s="5" t="str">
        <x:v>A061</x:v>
      </x:c>
      <x:c r="F136" s="5" t="str">
        <x:v>A polished property website preview shown in desktop and mobile frames.</x:v>
      </x:c>
      <x:c r="G136" s="5" t="str">
        <x:v>Create</x:v>
      </x:c>
      <x:c r="H136" s="5" t="str">
        <x:f>'Production assets'!F66</x:f>
        <x:v>Not started</x:v>
      </x:c>
      <x:c r="I136" s="5" t="str">
        <x:v>1200 x 1000 WebP crop of shared master</x:v>
      </x:c>
      <x:c r="J136" s="5" t="str">
        <x:v>Text placeholder</x:v>
      </x:c>
      <x:c r="K136" s="5" t="str">
        <x:v>CSS gradient + live UI</x:v>
      </x:c>
      <x:c r="L136" s="5" t="str">
        <x:v>320 x 267</x:v>
      </x:c>
      <x:c r="M136" s="5" t="str">
        <x:v>Cream, peach, pink, blue</x:v>
      </x:c>
      <x:c r="N136" s="5" t="str">
        <x:v>Preserve the existing CSS gradient. Export foreground separately with transparent background. Keep key UI within the central 80%.</x:v>
      </x:c>
      <x:c r="O136" s="5" t="str">
        <x:v>http://localhost:3000/features/website</x:v>
      </x:c>
    </x:row>
    <x:row r="137" ht="51" customHeight="1">
      <x:c r="A137" s="10" t="str">
        <x:v>P09-04</x:v>
      </x:c>
      <x:c r="B137" s="10" t="str">
        <x:v>AI Website Builder</x:v>
      </x:c>
      <x:c r="C137" s="10" t="str">
        <x:v>Feature card</x:v>
      </x:c>
      <x:c r="D137" s="10" t="str">
        <x:v>Connected content</x:v>
      </x:c>
      <x:c r="E137" s="10" t="str">
        <x:v>A062</x:v>
      </x:c>
      <x:c r="F137" s="10" t="str">
        <x:v>A property record linked to the corresponding website listing card.</x:v>
      </x:c>
      <x:c r="G137" s="10" t="str">
        <x:v>Create</x:v>
      </x:c>
      <x:c r="H137" s="10" t="str">
        <x:f>'Production assets'!F67</x:f>
        <x:v>Not started</x:v>
      </x:c>
      <x:c r="I137" s="10" t="str">
        <x:v>1200 x 1000 WebP crop of shared master</x:v>
      </x:c>
      <x:c r="J137" s="10" t="str">
        <x:v>Text placeholder</x:v>
      </x:c>
      <x:c r="K137" s="10" t="str">
        <x:v>CSS gradient + live UI</x:v>
      </x:c>
      <x:c r="L137" s="10" t="str">
        <x:v>320 x 267</x:v>
      </x:c>
      <x:c r="M137" s="10" t="str">
        <x:v>Cream, peach, pink, blue</x:v>
      </x:c>
      <x:c r="N137" s="10" t="str">
        <x:v>Preserve the existing CSS gradient. Export foreground separately with transparent background. Keep key UI within the central 80%.</x:v>
      </x:c>
      <x:c r="O137" s="10" t="str">
        <x:v>http://localhost:3000/features/website</x:v>
      </x:c>
    </x:row>
    <x:row r="138" ht="51" customHeight="1">
      <x:c r="A138" s="5" t="str">
        <x:v>P09-05</x:v>
      </x:c>
      <x:c r="B138" s="5" t="str">
        <x:v>AI Website Builder</x:v>
      </x:c>
      <x:c r="C138" s="5" t="str">
        <x:v>Feature card</x:v>
      </x:c>
      <x:c r="D138" s="5" t="str">
        <x:v>Familiar access</x:v>
      </x:c>
      <x:c r="E138" s="5" t="str">
        <x:v>A063</x:v>
      </x:c>
      <x:c r="F138" s="5" t="str">
        <x:v>A public website entry point connecting to a resident account panel.</x:v>
      </x:c>
      <x:c r="G138" s="5" t="str">
        <x:v>Create</x:v>
      </x:c>
      <x:c r="H138" s="5" t="str">
        <x:f>'Production assets'!F68</x:f>
        <x:v>Not started</x:v>
      </x:c>
      <x:c r="I138" s="5" t="str">
        <x:v>1200 x 1000 WebP crop of shared master</x:v>
      </x:c>
      <x:c r="J138" s="5" t="str">
        <x:v>Text placeholder</x:v>
      </x:c>
      <x:c r="K138" s="5" t="str">
        <x:v>CSS gradient + live UI</x:v>
      </x:c>
      <x:c r="L138" s="5" t="str">
        <x:v>320 x 267</x:v>
      </x:c>
      <x:c r="M138" s="5" t="str">
        <x:v>Cream, peach, pink, blue</x:v>
      </x:c>
      <x:c r="N138" s="5" t="str">
        <x:v>Preserve the existing CSS gradient. Export foreground separately with transparent background. Keep key UI within the central 80%.</x:v>
      </x:c>
      <x:c r="O138" s="5" t="str">
        <x:v>http://localhost:3000/features/website</x:v>
      </x:c>
    </x:row>
    <x:row r="139" ht="38" customHeight="1">
      <x:c r="A139" s="10" t="str">
        <x:v>P09-06</x:v>
      </x:c>
      <x:c r="B139" s="10" t="str">
        <x:v>AI Website Builder</x:v>
      </x:c>
      <x:c r="C139" s="10" t="str">
        <x:v>Product overview</x:v>
      </x:c>
      <x:c r="D139" s="10" t="str">
        <x:v>Connect the website to the work behind it.</x:v>
      </x:c>
      <x:c r="E139" s="10" t="str">
        <x:v>A064</x:v>
      </x:c>
      <x:c r="F139" s="10" t="str">
        <x:v>A wide website builder composition with desktop preview, mobile preview and content controls.</x:v>
      </x:c>
      <x:c r="G139" s="10" t="str">
        <x:v>Rework</x:v>
      </x:c>
      <x:c r="H139" s="10" t="str">
        <x:f>'Production assets'!F69</x:f>
        <x:v>Not started</x:v>
      </x:c>
      <x:c r="I139" s="10" t="str">
        <x:v>Editable layers + 1920 x 620 WebP</x:v>
      </x:c>
      <x:c r="J139" s="10" t="str">
        <x:v>Existing overview photo</x:v>
      </x:c>
      <x:c r="K139" s="10" t="str">
        <x:v>/brand/feature-pages/websites/websites-hero.webp</x:v>
      </x:c>
      <x:c r="L139" s="10" t="str">
        <x:v>960 x 309</x:v>
      </x:c>
      <x:c r="M139" s="10" t="str">
        <x:v>Cream, peach, pink, blue</x:v>
      </x:c>
      <x:c r="N139" s="10" t="str">
        <x:v>Replace the current overview photo with a product-led composition. Keep its wide framing.</x:v>
      </x:c>
      <x:c r="O139" s="10" t="str">
        <x:v>http://localhost:3000/features/website</x:v>
      </x:c>
    </x:row>
    <x:row r="140" ht="51" customHeight="1">
      <x:c r="A140" s="5" t="str">
        <x:v>P09-07</x:v>
      </x:c>
      <x:c r="B140" s="5" t="str">
        <x:v>AI Website Builder</x:v>
      </x:c>
      <x:c r="C140" s="5" t="str">
        <x:v>Feature detail</x:v>
      </x:c>
      <x:c r="D140" s="5" t="str">
        <x:v>Start with a website that fits.</x:v>
      </x:c>
      <x:c r="E140" s="5" t="str">
        <x:v>A060</x:v>
      </x:c>
      <x:c r="F140" s="5" t="str">
        <x:v>A website editor with page sections, a property preview and a simple content settings panel.</x:v>
      </x:c>
      <x:c r="G140" s="5" t="str">
        <x:v>Rework</x:v>
      </x:c>
      <x:c r="H140" s="5" t="str">
        <x:f>'Production assets'!F65</x:f>
        <x:v>Not started</x:v>
      </x:c>
      <x:c r="I140" s="5" t="str">
        <x:v>Editable SVG/layers + 1200 x 1200 WebP</x:v>
      </x:c>
      <x:c r="J140" s="5" t="str">
        <x:v>Photo with layered UI</x:v>
      </x:c>
      <x:c r="K140" s="5" t="str">
        <x:v>/brand/feature-pages/websites/websites-01-website-builder.webp
/brand/feature-pages/artwork/146-5284.svg</x:v>
      </x:c>
      <x:c r="L140" s="5" t="str">
        <x:v>580 x 580</x:v>
      </x:c>
      <x:c r="M140" s="5" t="str">
        <x:v>Cream, peach, pink, blue</x:v>
      </x:c>
      <x:c r="N140" s="5" t="str">
        <x:v>Preserve the existing CSS gradient. Export foreground separately with transparent background. Keep key UI within the central 80%.</x:v>
      </x:c>
      <x:c r="O140" s="5" t="str">
        <x:v>http://localhost:3000/features/website#website-builder</x:v>
      </x:c>
    </x:row>
    <x:row r="141" ht="51" customHeight="1">
      <x:c r="A141" s="10" t="str">
        <x:v>P09-08</x:v>
      </x:c>
      <x:c r="B141" s="10" t="str">
        <x:v>AI Website Builder</x:v>
      </x:c>
      <x:c r="C141" s="10" t="str">
        <x:v>Feature detail</x:v>
      </x:c>
      <x:c r="D141" s="10" t="str">
        <x:v>Choose a useful foundation.</x:v>
      </x:c>
      <x:c r="E141" s="10" t="str">
        <x:v>A065</x:v>
      </x:c>
      <x:c r="F141" s="10" t="str">
        <x:v>A grid of website template thumbnails with one selected design and its mobile preview.</x:v>
      </x:c>
      <x:c r="G141" s="10" t="str">
        <x:v>Rework</x:v>
      </x:c>
      <x:c r="H141" s="10" t="str">
        <x:f>'Production assets'!F70</x:f>
        <x:v>Not started</x:v>
      </x:c>
      <x:c r="I141" s="10" t="str">
        <x:v>Editable SVG/layers + 1200 x 1200 WebP</x:v>
      </x:c>
      <x:c r="J141" s="10" t="str">
        <x:v>Photo with layered UI</x:v>
      </x:c>
      <x:c r="K141" s="10" t="str">
        <x:v>/brand/feature-pages/websites/websites-02-template-gallery.webp
/brand/feature-pages/artwork/146-5311.svg</x:v>
      </x:c>
      <x:c r="L141" s="10" t="str">
        <x:v>532 x 532</x:v>
      </x:c>
      <x:c r="M141" s="10" t="str">
        <x:v>Cream, peach, pink, blue</x:v>
      </x:c>
      <x:c r="N141" s="10" t="str">
        <x:v>Preserve the existing CSS gradient. Export foreground separately with transparent background. Keep key UI within the central 80%.</x:v>
      </x:c>
      <x:c r="O141" s="10" t="str">
        <x:v>http://localhost:3000/features/website#template-gallery</x:v>
      </x:c>
    </x:row>
    <x:row r="142" ht="51" customHeight="1">
      <x:c r="A142" s="5" t="str">
        <x:v>P09-09</x:v>
      </x:c>
      <x:c r="B142" s="5" t="str">
        <x:v>AI Website Builder</x:v>
      </x:c>
      <x:c r="C142" s="5" t="str">
        <x:v>Feature detail</x:v>
      </x:c>
      <x:c r="D142" s="5" t="str">
        <x:v>Keep resident access close by.</x:v>
      </x:c>
      <x:c r="E142" s="5" t="str">
        <x:v>A066</x:v>
      </x:c>
      <x:c r="F142" s="5" t="str">
        <x:v>A website navigation item opening a resident portal sign-in panel and account preview.</x:v>
      </x:c>
      <x:c r="G142" s="5" t="str">
        <x:v>Rework</x:v>
      </x:c>
      <x:c r="H142" s="5" t="str">
        <x:f>'Production assets'!F71</x:f>
        <x:v>Not started</x:v>
      </x:c>
      <x:c r="I142" s="5" t="str">
        <x:v>Editable SVG/layers + 1200 x 1200 WebP</x:v>
      </x:c>
      <x:c r="J142" s="5" t="str">
        <x:v>Photo with layered UI</x:v>
      </x:c>
      <x:c r="K142" s="5" t="str">
        <x:v>/brand/feature-pages/websites/websites-03-resident-access.webp
/brand/feature-pages/artwork/146-5380.svg</x:v>
      </x:c>
      <x:c r="L142" s="5" t="str">
        <x:v>580 x 580</x:v>
      </x:c>
      <x:c r="M142" s="5" t="str">
        <x:v>Cream, peach, pink, blue</x:v>
      </x:c>
      <x:c r="N142" s="5" t="str">
        <x:v>Preserve the existing CSS gradient. Export foreground separately with transparent background. Keep key UI within the central 80%.</x:v>
      </x:c>
      <x:c r="O142" s="5" t="str">
        <x:v>http://localhost:3000/features/website#resident-access</x:v>
      </x:c>
    </x:row>
    <x:row r="143" ht="51" customHeight="1">
      <x:c r="A143" s="10" t="str">
        <x:v>P09-10</x:v>
      </x:c>
      <x:c r="B143" s="10" t="str">
        <x:v>AI Website Builder</x:v>
      </x:c>
      <x:c r="C143" s="10" t="str">
        <x:v>Feature detail</x:v>
      </x:c>
      <x:c r="D143" s="10" t="str">
        <x:v>Put available properties in view.</x:v>
      </x:c>
      <x:c r="E143" s="10" t="str">
        <x:v>A067</x:v>
      </x:c>
      <x:c r="F143" s="10" t="str">
        <x:v>A property listing grid with availability filters and a selected property detail card.</x:v>
      </x:c>
      <x:c r="G143" s="10" t="str">
        <x:v>Rework</x:v>
      </x:c>
      <x:c r="H143" s="10" t="str">
        <x:f>'Production assets'!F72</x:f>
        <x:v>Not started</x:v>
      </x:c>
      <x:c r="I143" s="10" t="str">
        <x:v>Editable SVG/layers + 1200 x 1200 WebP</x:v>
      </x:c>
      <x:c r="J143" s="10" t="str">
        <x:v>Photo with layered UI</x:v>
      </x:c>
      <x:c r="K143" s="10" t="str">
        <x:v>/brand/feature-pages/websites/websites-04-property-listings.webp
/brand/feature-pages/artwork/146-5417.svg</x:v>
      </x:c>
      <x:c r="L143" s="10" t="str">
        <x:v>532 x 532</x:v>
      </x:c>
      <x:c r="M143" s="10" t="str">
        <x:v>Cream, peach, pink, blue</x:v>
      </x:c>
      <x:c r="N143" s="10" t="str">
        <x:v>Preserve the existing CSS gradient. Export foreground separately with transparent background. Keep key UI within the central 80%.</x:v>
      </x:c>
      <x:c r="O143" s="10" t="str">
        <x:v>http://localhost:3000/features/website#property-listings</x:v>
      </x:c>
    </x:row>
    <x:row r="144" ht="38" customHeight="1">
      <x:c r="A144" s="5" t="str">
        <x:v>P09-11</x:v>
      </x:c>
      <x:c r="B144" s="5" t="str">
        <x:v>AI Website Builder</x:v>
      </x:c>
      <x:c r="C144" s="5" t="str">
        <x:v>Related product thumbnail</x:v>
      </x:c>
      <x:c r="D144" s="5" t="str">
        <x:v>Platform</x:v>
      </x:c>
      <x:c r="E144" s="5" t="str">
        <x:v>A015</x:v>
      </x:c>
      <x:c r="F144" s="5" t="str">
        <x:v>A compact workspace overview linking agents, tools and shared knowledge.</x:v>
      </x:c>
      <x:c r="G144" s="5" t="str">
        <x:v>Create</x:v>
      </x:c>
      <x:c r="H144" s="5" t="str">
        <x:f>'Production assets'!F20</x:f>
        <x:v>Not started</x:v>
      </x:c>
      <x:c r="I144" s="5" t="str">
        <x:v>Editable SVG + 1200 x 1000 WebP</x:v>
      </x:c>
      <x:c r="J144" s="5" t="str">
        <x:v>Generic star on gradient</x:v>
      </x:c>
      <x:c r="K144" s="5" t="str">
        <x:v>/brand/calendly/assistant-hero.svg + star glyph</x:v>
      </x:c>
      <x:c r="L144" s="5" t="str">
        <x:v>227 x 189</x:v>
      </x:c>
      <x:c r="M144" s="5" t="str">
        <x:v>Ice blue, white, teal, deep green</x:v>
      </x:c>
      <x:c r="N144" s="5" t="str">
        <x:v>Create once and reuse across related-product cards and the Platform card rail. Keep the gradient separate.</x:v>
      </x:c>
      <x:c r="O144" s="5" t="str">
        <x:v>http://localhost:3000/features/website</x:v>
      </x:c>
    </x:row>
    <x:row r="145" ht="38" customHeight="1">
      <x:c r="A145" s="10" t="str">
        <x:v>P09-12</x:v>
      </x:c>
      <x:c r="B145" s="10" t="str">
        <x:v>AI Website Builder</x:v>
      </x:c>
      <x:c r="C145" s="10" t="str">
        <x:v>Related product thumbnail</x:v>
      </x:c>
      <x:c r="D145" s="10" t="str">
        <x:v>Integrations</x:v>
      </x:c>
      <x:c r="E145" s="10" t="str">
        <x:v>A006</x:v>
      </x:c>
      <x:c r="F145" s="10" t="str">
        <x:v>A central Innflow node connected to a small set of tool tiles.</x:v>
      </x:c>
      <x:c r="G145" s="10" t="str">
        <x:v>Create</x:v>
      </x:c>
      <x:c r="H145" s="10" t="str">
        <x:f>'Production assets'!F11</x:f>
        <x:v>Not started</x:v>
      </x:c>
      <x:c r="I145" s="10" t="str">
        <x:v>Editable SVG + 1200 x 1000 WebP</x:v>
      </x:c>
      <x:c r="J145" s="10" t="str">
        <x:v>Generic star on gradient</x:v>
      </x:c>
      <x:c r="K145" s="10" t="str">
        <x:v>/brand/calendly/scheduling-hero.svg + star glyph</x:v>
      </x:c>
      <x:c r="L145" s="10" t="str">
        <x:v>227 x 189</x:v>
      </x:c>
      <x:c r="M145" s="10" t="str">
        <x:v>Sky blue, pale aqua, navy</x:v>
      </x:c>
      <x:c r="N145" s="10" t="str">
        <x:v>Create once and reuse across related-product cards and the Platform card rail. Keep the gradient separate.</x:v>
      </x:c>
      <x:c r="O145" s="10" t="str">
        <x:v>http://localhost:3000/features/website</x:v>
      </x:c>
    </x:row>
    <x:row r="146" ht="38" customHeight="1">
      <x:c r="A146" s="5" t="str">
        <x:v>P09-13</x:v>
      </x:c>
      <x:c r="B146" s="5" t="str">
        <x:v>AI Website Builder</x:v>
      </x:c>
      <x:c r="C146" s="5" t="str">
        <x:v>Related product thumbnail</x:v>
      </x:c>
      <x:c r="D146" s="5" t="str">
        <x:v>Agentic Workflows</x:v>
      </x:c>
      <x:c r="E146" s="5" t="str">
        <x:v>A010</x:v>
      </x:c>
      <x:c r="F146" s="5" t="str">
        <x:v>A compact workflow canvas with trigger, branch and action nodes.</x:v>
      </x:c>
      <x:c r="G146" s="5" t="str">
        <x:v>Create</x:v>
      </x:c>
      <x:c r="H146" s="5" t="str">
        <x:f>'Production assets'!F15</x:f>
        <x:v>Not started</x:v>
      </x:c>
      <x:c r="I146" s="5" t="str">
        <x:v>Editable SVG + 1200 x 1000 WebP</x:v>
      </x:c>
      <x:c r="J146" s="5" t="str">
        <x:v>Generic star on gradient</x:v>
      </x:c>
      <x:c r="K146" s="5" t="str">
        <x:v>/brand/calendly/notetaker-hero.svg + star glyph</x:v>
      </x:c>
      <x:c r="L146" s="5" t="str">
        <x:v>227 x 189</x:v>
      </x:c>
      <x:c r="M146" s="5" t="str">
        <x:v>Navy, blue, blush, lavender</x:v>
      </x:c>
      <x:c r="N146" s="5" t="str">
        <x:v>Create once and reuse across related-product cards and the Platform card rail. Keep the gradient separate.</x:v>
      </x:c>
      <x:c r="O146" s="5" t="str">
        <x:v>http://localhost:3000/features/website</x:v>
      </x:c>
    </x:row>
    <x:row r="147" ht="38" customHeight="1">
      <x:c r="A147" s="10" t="str">
        <x:v>P09-14</x:v>
      </x:c>
      <x:c r="B147" s="10" t="str">
        <x:v>AI Website Builder</x:v>
      </x:c>
      <x:c r="C147" s="10" t="str">
        <x:v>Related product thumbnail</x:v>
      </x:c>
      <x:c r="D147" s="10" t="str">
        <x:v>Agent OS</x:v>
      </x:c>
      <x:c r="E147" s="10" t="str">
        <x:v>A011</x:v>
      </x:c>
      <x:c r="F147" s="10" t="str">
        <x:v>A small orchestration graph connecting agents and shared memory.</x:v>
      </x:c>
      <x:c r="G147" s="10" t="str">
        <x:v>Create</x:v>
      </x:c>
      <x:c r="H147" s="10" t="str">
        <x:f>'Production assets'!F16</x:f>
        <x:v>Not started</x:v>
      </x:c>
      <x:c r="I147" s="10" t="str">
        <x:v>Editable SVG + 1200 x 1000 WebP</x:v>
      </x:c>
      <x:c r="J147" s="10" t="str">
        <x:v>Generic star on gradient</x:v>
      </x:c>
      <x:c r="K147" s="10" t="str">
        <x:v>/brand/calendly/contacts-hero.svg + star glyph</x:v>
      </x:c>
      <x:c r="L147" s="10" t="str">
        <x:v>227 x 189</x:v>
      </x:c>
      <x:c r="M147" s="10" t="str">
        <x:v>Cream, peach, pink, blue</x:v>
      </x:c>
      <x:c r="N147" s="10" t="str">
        <x:v>Create once and reuse across related-product cards and the Platform card rail. Keep the gradient separate.</x:v>
      </x:c>
      <x:c r="O147" s="10" t="str">
        <x:v>http://localhost:3000/features/website</x:v>
      </x:c>
    </x:row>
    <x:row r="148" ht="38" customHeight="1">
      <x:c r="A148" s="5" t="str">
        <x:v>P09-15</x:v>
      </x:c>
      <x:c r="B148" s="5" t="str">
        <x:v>AI Website Builder</x:v>
      </x:c>
      <x:c r="C148" s="5" t="str">
        <x:v>Related product thumbnail</x:v>
      </x:c>
      <x:c r="D148" s="5" t="str">
        <x:v>AI Agents</x:v>
      </x:c>
      <x:c r="E148" s="5" t="str">
        <x:v>A012</x:v>
      </x:c>
      <x:c r="F148" s="5" t="str">
        <x:v>An agent task card with linked evidence and a proposed next action.</x:v>
      </x:c>
      <x:c r="G148" s="5" t="str">
        <x:v>Create</x:v>
      </x:c>
      <x:c r="H148" s="5" t="str">
        <x:f>'Production assets'!F17</x:f>
        <x:v>Not started</x:v>
      </x:c>
      <x:c r="I148" s="5" t="str">
        <x:v>Editable SVG + 1200 x 1000 WebP</x:v>
      </x:c>
      <x:c r="J148" s="5" t="str">
        <x:v>Generic star on gradient</x:v>
      </x:c>
      <x:c r="K148" s="5" t="str">
        <x:v>/brand/calendly/payments-hero.svg + star glyph</x:v>
      </x:c>
      <x:c r="L148" s="5" t="str">
        <x:v>227 x 189</x:v>
      </x:c>
      <x:c r="M148" s="5" t="str">
        <x:v>Pale mint, aqua, blue, navy</x:v>
      </x:c>
      <x:c r="N148" s="5" t="str">
        <x:v>Create once and reuse across related-product cards and the Platform card rail. Keep the gradient separate.</x:v>
      </x:c>
      <x:c r="O148" s="5" t="str">
        <x:v>http://localhost:3000/features/website</x:v>
      </x:c>
    </x:row>
    <x:row r="149" ht="38" customHeight="1">
      <x:c r="A149" s="10" t="str">
        <x:v>P10-01</x:v>
      </x:c>
      <x:c r="B149" s="10" t="str">
        <x:v>Databases</x:v>
      </x:c>
      <x:c r="C149" s="10" t="str">
        <x:v>Hero background</x:v>
      </x:c>
      <x:c r="D149" s="10" t="str">
        <x:v>Your property knowledge, within reach.</x:v>
      </x:c>
      <x:c r="E149" s="10" t="str">
        <x:v>A034</x:v>
      </x:c>
      <x:c r="F149" s="10" t="str">
        <x:v>Reuse the existing Paper SVG as a separate background layer. No new background required.</x:v>
      </x:c>
      <x:c r="G149" s="10" t="str">
        <x:v>Reuse</x:v>
      </x:c>
      <x:c r="H149" s="10" t="str">
        <x:f>'Production assets'!F39</x:f>
        <x:v>Existing</x:v>
      </x:c>
      <x:c r="I149" s="10" t="str">
        <x:v>Existing scalable SVG</x:v>
      </x:c>
      <x:c r="J149" s="10" t="str">
        <x:v>Existing background</x:v>
      </x:c>
      <x:c r="K149" s="10" t="str">
        <x:v>/brand/calendly/payments-hero.svg</x:v>
      </x:c>
      <x:c r="L149" s="10" t="str">
        <x:v>1387 x 776</x:v>
      </x:c>
      <x:c r="M149" s="10" t="str">
        <x:v>Pale mint, aqua, blue, navy</x:v>
      </x:c>
      <x:c r="N149" s="10" t="str">
        <x:v>Shared by every page using this style.</x:v>
      </x:c>
      <x:c r="O149" s="10" t="str">
        <x:v>http://localhost:3000/products/databases</x:v>
      </x:c>
    </x:row>
    <x:row r="150" ht="77" customHeight="1">
      <x:c r="A150" s="5" t="str">
        <x:v>P10-02</x:v>
      </x:c>
      <x:c r="B150" s="5" t="str">
        <x:v>Databases</x:v>
      </x:c>
      <x:c r="C150" s="5" t="str">
        <x:v>Capability overview</x:v>
      </x:c>
      <x:c r="D150" s="5" t="str">
        <x:v>Agentic RAG</x:v>
      </x:c>
      <x:c r="E150" s="5" t="str">
        <x:v>A068</x:v>
      </x:c>
      <x:c r="F150" s="5" t="str">
        <x:v>A question retrieving relevant passages from documents, with source citations attached to the answer.</x:v>
      </x:c>
      <x:c r="G150" s="5" t="str">
        <x:v>Create</x:v>
      </x:c>
      <x:c r="H150" s="5" t="str">
        <x:f>'Production assets'!F73</x:f>
        <x:v>Not started</x:v>
      </x:c>
      <x:c r="I150" s="5" t="str">
        <x:v>Editable SVG/layers + 1200 x 1200 WebP</x:v>
      </x:c>
      <x:c r="J150" s="5" t="str">
        <x:v>Generic workflow illustration</x:v>
      </x:c>
      <x:c r="K150" s="5" t="str">
        <x:v>CSS gradient + live UI</x:v>
      </x:c>
      <x:c r="L150" s="5" t="str">
        <x:v>580 x 580</x:v>
      </x:c>
      <x:c r="M150" s="5" t="str">
        <x:v>Pale mint, aqua, blue, navy</x:v>
      </x:c>
      <x:c r="N150" s="5" t="str">
        <x:v>Preserve the existing CSS gradient. Export foreground separately with transparent background. Keep key UI within the central 80%. Reuses the first feature detail artwork. Current copy repeats across two topics; keep the two placements distinct pending copy review.</x:v>
      </x:c>
      <x:c r="O150" s="5" t="str">
        <x:v>http://localhost:3000/products/databases#agentic-rag</x:v>
      </x:c>
    </x:row>
    <x:row r="151" ht="64" customHeight="1">
      <x:c r="A151" s="10" t="str">
        <x:v>P10-03</x:v>
      </x:c>
      <x:c r="B151" s="10" t="str">
        <x:v>Databases</x:v>
      </x:c>
      <x:c r="C151" s="10" t="str">
        <x:v>Feature card</x:v>
      </x:c>
      <x:c r="D151" s="10" t="str">
        <x:v>Find the context that matters.</x:v>
      </x:c>
      <x:c r="E151" s="10" t="str">
        <x:v>A068</x:v>
      </x:c>
      <x:c r="F151" s="10" t="str">
        <x:v>A question retrieving relevant passages from documents, with source citations attached to the answer.</x:v>
      </x:c>
      <x:c r="G151" s="10" t="str">
        <x:v>Create</x:v>
      </x:c>
      <x:c r="H151" s="10" t="str">
        <x:f>'Production assets'!F73</x:f>
        <x:v>Not started</x:v>
      </x:c>
      <x:c r="I151" s="10" t="str">
        <x:v>1200 x 1000 WebP crop of shared master</x:v>
      </x:c>
      <x:c r="J151" s="10" t="str">
        <x:v>Generic workflow illustration</x:v>
      </x:c>
      <x:c r="K151" s="10" t="str">
        <x:v>CSS gradient + live UI</x:v>
      </x:c>
      <x:c r="L151" s="10" t="str">
        <x:v>320 x 267</x:v>
      </x:c>
      <x:c r="M151" s="10" t="str">
        <x:v>Pale mint, aqua, blue, navy</x:v>
      </x:c>
      <x:c r="N151" s="10" t="str">
        <x:v>Preserve the existing CSS gradient. Export foreground separately with transparent background. Keep key UI within the central 80%. Current copy repeats across two topics; keep the two placements distinct pending copy review.</x:v>
      </x:c>
      <x:c r="O151" s="10" t="str">
        <x:v>http://localhost:3000/products/databases</x:v>
      </x:c>
    </x:row>
    <x:row r="152" ht="64" customHeight="1">
      <x:c r="A152" s="5" t="str">
        <x:v>P10-04</x:v>
      </x:c>
      <x:c r="B152" s="5" t="str">
        <x:v>Databases</x:v>
      </x:c>
      <x:c r="C152" s="5" t="str">
        <x:v>Feature card</x:v>
      </x:c>
      <x:c r="D152" s="5" t="str">
        <x:v>Find the context that matters.</x:v>
      </x:c>
      <x:c r="E152" s="5" t="str">
        <x:v>A069</x:v>
      </x:c>
      <x:c r="F152" s="5" t="str">
        <x:v>A search query ranking relevant document snippets and linking them to a reviewable answer.</x:v>
      </x:c>
      <x:c r="G152" s="5" t="str">
        <x:v>Create</x:v>
      </x:c>
      <x:c r="H152" s="5" t="str">
        <x:f>'Production assets'!F74</x:f>
        <x:v>Not started</x:v>
      </x:c>
      <x:c r="I152" s="5" t="str">
        <x:v>1200 x 1000 WebP crop of shared master</x:v>
      </x:c>
      <x:c r="J152" s="5" t="str">
        <x:v>Generic workflow illustration</x:v>
      </x:c>
      <x:c r="K152" s="5" t="str">
        <x:v>CSS gradient + live UI</x:v>
      </x:c>
      <x:c r="L152" s="5" t="str">
        <x:v>320 x 267</x:v>
      </x:c>
      <x:c r="M152" s="5" t="str">
        <x:v>Pale mint, aqua, blue, navy</x:v>
      </x:c>
      <x:c r="N152" s="5" t="str">
        <x:v>Preserve the existing CSS gradient. Export foreground separately with transparent background. Keep key UI within the central 80%. Current copy repeats across two topics; keep the two placements distinct pending copy review.</x:v>
      </x:c>
      <x:c r="O152" s="5" t="str">
        <x:v>http://localhost:3000/products/databases</x:v>
      </x:c>
    </x:row>
    <x:row r="153" ht="51" customHeight="1">
      <x:c r="A153" s="10" t="str">
        <x:v>P10-05</x:v>
      </x:c>
      <x:c r="B153" s="10" t="str">
        <x:v>Databases</x:v>
      </x:c>
      <x:c r="C153" s="10" t="str">
        <x:v>Feature card</x:v>
      </x:c>
      <x:c r="D153" s="10" t="str">
        <x:v>Bring your working files together.</x:v>
      </x:c>
      <x:c r="E153" s="10" t="str">
        <x:v>A070</x:v>
      </x:c>
      <x:c r="F153" s="10" t="str">
        <x:v>A file library with document, spreadsheet and PDF tiles plus format and processing states.</x:v>
      </x:c>
      <x:c r="G153" s="10" t="str">
        <x:v>Create</x:v>
      </x:c>
      <x:c r="H153" s="10" t="str">
        <x:f>'Production assets'!F75</x:f>
        <x:v>Not started</x:v>
      </x:c>
      <x:c r="I153" s="10" t="str">
        <x:v>1200 x 1000 WebP crop of shared master</x:v>
      </x:c>
      <x:c r="J153" s="10" t="str">
        <x:v>Generic workflow illustration</x:v>
      </x:c>
      <x:c r="K153" s="10" t="str">
        <x:v>CSS gradient + live UI</x:v>
      </x:c>
      <x:c r="L153" s="10" t="str">
        <x:v>320 x 267</x:v>
      </x:c>
      <x:c r="M153" s="10" t="str">
        <x:v>Pale mint, aqua, blue, navy</x:v>
      </x:c>
      <x:c r="N153" s="10" t="str">
        <x:v>Preserve the existing CSS gradient. Export foreground separately with transparent background. Keep key UI within the central 80%.</x:v>
      </x:c>
      <x:c r="O153" s="10" t="str">
        <x:v>http://localhost:3000/products/databases</x:v>
      </x:c>
    </x:row>
    <x:row r="154" ht="51" customHeight="1">
      <x:c r="A154" s="5" t="str">
        <x:v>P10-06</x:v>
      </x:c>
      <x:c r="B154" s="5" t="str">
        <x:v>Databases</x:v>
      </x:c>
      <x:c r="C154" s="5" t="str">
        <x:v>Feature card</x:v>
      </x:c>
      <x:c r="D154" s="5" t="str">
        <x:v>Keep useful context close.</x:v>
      </x:c>
      <x:c r="E154" s="5" t="str">
        <x:v>A071</x:v>
      </x:c>
      <x:c r="F154" s="5" t="str">
        <x:v>An agent context drawer linking current documents and records to the active task.</x:v>
      </x:c>
      <x:c r="G154" s="5" t="str">
        <x:v>Create</x:v>
      </x:c>
      <x:c r="H154" s="5" t="str">
        <x:f>'Production assets'!F76</x:f>
        <x:v>Not started</x:v>
      </x:c>
      <x:c r="I154" s="5" t="str">
        <x:v>1200 x 1000 WebP crop of shared master</x:v>
      </x:c>
      <x:c r="J154" s="5" t="str">
        <x:v>Generic workflow illustration</x:v>
      </x:c>
      <x:c r="K154" s="5" t="str">
        <x:v>CSS gradient + live UI</x:v>
      </x:c>
      <x:c r="L154" s="5" t="str">
        <x:v>320 x 267</x:v>
      </x:c>
      <x:c r="M154" s="5" t="str">
        <x:v>Pale mint, aqua, blue, navy</x:v>
      </x:c>
      <x:c r="N154" s="5" t="str">
        <x:v>Preserve the existing CSS gradient. Export foreground separately with transparent background. Keep key UI within the central 80%.</x:v>
      </x:c>
      <x:c r="O154" s="5" t="str">
        <x:v>http://localhost:3000/products/databases</x:v>
      </x:c>
    </x:row>
    <x:row r="155" ht="51" customHeight="1">
      <x:c r="A155" s="10" t="str">
        <x:v>P10-07</x:v>
      </x:c>
      <x:c r="B155" s="10" t="str">
        <x:v>Databases</x:v>
      </x:c>
      <x:c r="C155" s="10" t="str">
        <x:v>Feature card</x:v>
      </x:c>
      <x:c r="D155" s="10" t="str">
        <x:v>Give shared information a home.</x:v>
      </x:c>
      <x:c r="E155" s="10" t="str">
        <x:v>A072</x:v>
      </x:c>
      <x:c r="F155" s="10" t="str">
        <x:v>A structured table with linked records, a selected row and the workflow that consumes it.</x:v>
      </x:c>
      <x:c r="G155" s="10" t="str">
        <x:v>Create</x:v>
      </x:c>
      <x:c r="H155" s="10" t="str">
        <x:f>'Production assets'!F77</x:f>
        <x:v>Not started</x:v>
      </x:c>
      <x:c r="I155" s="10" t="str">
        <x:v>1200 x 1000 WebP crop of shared master</x:v>
      </x:c>
      <x:c r="J155" s="10" t="str">
        <x:v>Generic workflow illustration</x:v>
      </x:c>
      <x:c r="K155" s="10" t="str">
        <x:v>CSS gradient + live UI</x:v>
      </x:c>
      <x:c r="L155" s="10" t="str">
        <x:v>320 x 267</x:v>
      </x:c>
      <x:c r="M155" s="10" t="str">
        <x:v>Pale mint, aqua, blue, navy</x:v>
      </x:c>
      <x:c r="N155" s="10" t="str">
        <x:v>Preserve the existing CSS gradient. Export foreground separately with transparent background. Keep key UI within the central 80%.</x:v>
      </x:c>
      <x:c r="O155" s="10" t="str">
        <x:v>http://localhost:3000/products/databases</x:v>
      </x:c>
    </x:row>
    <x:row r="156" ht="38" customHeight="1">
      <x:c r="A156" s="5" t="str">
        <x:v>P10-08</x:v>
      </x:c>
      <x:c r="B156" s="5" t="str">
        <x:v>Databases</x:v>
      </x:c>
      <x:c r="C156" s="5" t="str">
        <x:v>Product overview</x:v>
      </x:c>
      <x:c r="D156" s="5" t="str">
        <x:v>The pieces that keep your work connected.</x:v>
      </x:c>
      <x:c r="E156" s="5" t="str">
        <x:v>A073</x:v>
      </x:c>
      <x:c r="F156" s="5" t="str">
        <x:v>Retain the existing interactive workspace. Optional static poster only if a still image is needed.</x:v>
      </x:c>
      <x:c r="G156" s="5" t="str">
        <x:v>Reuse</x:v>
      </x:c>
      <x:c r="H156" s="5" t="str">
        <x:f>'Production assets'!F78</x:f>
        <x:v>Existing</x:v>
      </x:c>
      <x:c r="I156" s="5" t="str">
        <x:v>Live component; optional 1920 px wide poster</x:v>
      </x:c>
      <x:c r="J156" s="5" t="str">
        <x:v>Interactive workspace</x:v>
      </x:c>
      <x:c r="K156" s="5" t="str">
        <x:v>CSS gradient + live UI</x:v>
      </x:c>
      <x:c r="L156" s="5" t="str">
        <x:v>960 x 675</x:v>
      </x:c>
      <x:c r="M156" s="5" t="str">
        <x:v>Pale mint, aqua, blue, navy</x:v>
      </x:c>
      <x:c r="N156" s="5" t="str">
        <x:v>Do not replace working controls with a flattened image.</x:v>
      </x:c>
      <x:c r="O156" s="5" t="str">
        <x:v>http://localhost:3000/products/databases</x:v>
      </x:c>
    </x:row>
    <x:row r="157" ht="64" customHeight="1">
      <x:c r="A157" s="10" t="str">
        <x:v>P10-09</x:v>
      </x:c>
      <x:c r="B157" s="10" t="str">
        <x:v>Databases</x:v>
      </x:c>
      <x:c r="C157" s="10" t="str">
        <x:v>Feature detail</x:v>
      </x:c>
      <x:c r="D157" s="10" t="str">
        <x:v>Find the context that matters.</x:v>
      </x:c>
      <x:c r="E157" s="10" t="str">
        <x:v>A068</x:v>
      </x:c>
      <x:c r="F157" s="10" t="str">
        <x:v>A question retrieving relevant passages from documents, with source citations attached to the answer.</x:v>
      </x:c>
      <x:c r="G157" s="10" t="str">
        <x:v>Create</x:v>
      </x:c>
      <x:c r="H157" s="10" t="str">
        <x:f>'Production assets'!F73</x:f>
        <x:v>Not started</x:v>
      </x:c>
      <x:c r="I157" s="10" t="str">
        <x:v>Editable SVG/layers + 1200 x 1200 WebP</x:v>
      </x:c>
      <x:c r="J157" s="10" t="str">
        <x:v>Generic workflow illustration</x:v>
      </x:c>
      <x:c r="K157" s="10" t="str">
        <x:v>CSS gradient + live UI</x:v>
      </x:c>
      <x:c r="L157" s="10" t="str">
        <x:v>580 x 580</x:v>
      </x:c>
      <x:c r="M157" s="10" t="str">
        <x:v>Pale mint, aqua, blue, navy</x:v>
      </x:c>
      <x:c r="N157" s="10" t="str">
        <x:v>Preserve the existing CSS gradient. Export foreground separately with transparent background. Keep key UI within the central 80%. Current copy repeats across two topics; keep the two placements distinct pending copy review.</x:v>
      </x:c>
      <x:c r="O157" s="10" t="str">
        <x:v>http://localhost:3000/products/databases#agentic-rag</x:v>
      </x:c>
    </x:row>
    <x:row r="158" ht="51" customHeight="1">
      <x:c r="A158" s="5" t="str">
        <x:v>P10-10</x:v>
      </x:c>
      <x:c r="B158" s="5" t="str">
        <x:v>Databases</x:v>
      </x:c>
      <x:c r="C158" s="5" t="str">
        <x:v>Feature detail</x:v>
      </x:c>
      <x:c r="D158" s="5" t="str">
        <x:v>Bring your working files together.</x:v>
      </x:c>
      <x:c r="E158" s="5" t="str">
        <x:v>A070</x:v>
      </x:c>
      <x:c r="F158" s="5" t="str">
        <x:v>A file library with document, spreadsheet and PDF tiles plus format and processing states.</x:v>
      </x:c>
      <x:c r="G158" s="5" t="str">
        <x:v>Create</x:v>
      </x:c>
      <x:c r="H158" s="5" t="str">
        <x:f>'Production assets'!F75</x:f>
        <x:v>Not started</x:v>
      </x:c>
      <x:c r="I158" s="5" t="str">
        <x:v>Editable SVG/layers + 1200 x 1200 WebP</x:v>
      </x:c>
      <x:c r="J158" s="5" t="str">
        <x:v>Generic workflow illustration</x:v>
      </x:c>
      <x:c r="K158" s="5" t="str">
        <x:v>CSS gradient + live UI</x:v>
      </x:c>
      <x:c r="L158" s="5" t="str">
        <x:v>532 x 532</x:v>
      </x:c>
      <x:c r="M158" s="5" t="str">
        <x:v>Pale mint, aqua, blue, navy</x:v>
      </x:c>
      <x:c r="N158" s="5" t="str">
        <x:v>Preserve the existing CSS gradient. Export foreground separately with transparent background. Keep key UI within the central 80%.</x:v>
      </x:c>
      <x:c r="O158" s="5" t="str">
        <x:v>http://localhost:3000/products/databases#all-file-types</x:v>
      </x:c>
    </x:row>
    <x:row r="159" ht="51" customHeight="1">
      <x:c r="A159" s="10" t="str">
        <x:v>P10-11</x:v>
      </x:c>
      <x:c r="B159" s="10" t="str">
        <x:v>Databases</x:v>
      </x:c>
      <x:c r="C159" s="10" t="str">
        <x:v>Feature detail</x:v>
      </x:c>
      <x:c r="D159" s="10" t="str">
        <x:v>Give shared information a home.</x:v>
      </x:c>
      <x:c r="E159" s="10" t="str">
        <x:v>A072</x:v>
      </x:c>
      <x:c r="F159" s="10" t="str">
        <x:v>A structured table with linked records, a selected row and the workflow that consumes it.</x:v>
      </x:c>
      <x:c r="G159" s="10" t="str">
        <x:v>Create</x:v>
      </x:c>
      <x:c r="H159" s="10" t="str">
        <x:f>'Production assets'!F77</x:f>
        <x:v>Not started</x:v>
      </x:c>
      <x:c r="I159" s="10" t="str">
        <x:v>Editable SVG/layers + 1200 x 1200 WebP</x:v>
      </x:c>
      <x:c r="J159" s="10" t="str">
        <x:v>Generic workflow illustration</x:v>
      </x:c>
      <x:c r="K159" s="10" t="str">
        <x:v>CSS gradient + live UI</x:v>
      </x:c>
      <x:c r="L159" s="10" t="str">
        <x:v>580 x 580</x:v>
      </x:c>
      <x:c r="M159" s="10" t="str">
        <x:v>Pale mint, aqua, blue, navy</x:v>
      </x:c>
      <x:c r="N159" s="10" t="str">
        <x:v>Preserve the existing CSS gradient. Export foreground separately with transparent background. Keep key UI within the central 80%.</x:v>
      </x:c>
      <x:c r="O159" s="10" t="str">
        <x:v>http://localhost:3000/products/databases#databases</x:v>
      </x:c>
    </x:row>
    <x:row r="160" ht="51" customHeight="1">
      <x:c r="A160" s="5" t="str">
        <x:v>P10-12</x:v>
      </x:c>
      <x:c r="B160" s="5" t="str">
        <x:v>Databases</x:v>
      </x:c>
      <x:c r="C160" s="5" t="str">
        <x:v>Feature detail</x:v>
      </x:c>
      <x:c r="D160" s="5" t="str">
        <x:v>Keep useful context close.</x:v>
      </x:c>
      <x:c r="E160" s="5" t="str">
        <x:v>A071</x:v>
      </x:c>
      <x:c r="F160" s="5" t="str">
        <x:v>An agent context drawer linking current documents and records to the active task.</x:v>
      </x:c>
      <x:c r="G160" s="5" t="str">
        <x:v>Create</x:v>
      </x:c>
      <x:c r="H160" s="5" t="str">
        <x:f>'Production assets'!F76</x:f>
        <x:v>Not started</x:v>
      </x:c>
      <x:c r="I160" s="5" t="str">
        <x:v>Editable SVG/layers + 1200 x 1200 WebP</x:v>
      </x:c>
      <x:c r="J160" s="5" t="str">
        <x:v>Generic workflow illustration</x:v>
      </x:c>
      <x:c r="K160" s="5" t="str">
        <x:v>CSS gradient + live UI</x:v>
      </x:c>
      <x:c r="L160" s="5" t="str">
        <x:v>532 x 532</x:v>
      </x:c>
      <x:c r="M160" s="5" t="str">
        <x:v>Pale mint, aqua, blue, navy</x:v>
      </x:c>
      <x:c r="N160" s="5" t="str">
        <x:v>Preserve the existing CSS gradient. Export foreground separately with transparent background. Keep key UI within the central 80%.</x:v>
      </x:c>
      <x:c r="O160" s="5" t="str">
        <x:v>http://localhost:3000/products/databases#agent-context</x:v>
      </x:c>
    </x:row>
    <x:row r="161" ht="64" customHeight="1">
      <x:c r="A161" s="10" t="str">
        <x:v>P10-13</x:v>
      </x:c>
      <x:c r="B161" s="10" t="str">
        <x:v>Databases</x:v>
      </x:c>
      <x:c r="C161" s="10" t="str">
        <x:v>Feature detail</x:v>
      </x:c>
      <x:c r="D161" s="10" t="str">
        <x:v>Find the context that matters.</x:v>
      </x:c>
      <x:c r="E161" s="10" t="str">
        <x:v>A069</x:v>
      </x:c>
      <x:c r="F161" s="10" t="str">
        <x:v>A search query ranking relevant document snippets and linking them to a reviewable answer.</x:v>
      </x:c>
      <x:c r="G161" s="10" t="str">
        <x:v>Create</x:v>
      </x:c>
      <x:c r="H161" s="10" t="str">
        <x:f>'Production assets'!F74</x:f>
        <x:v>Not started</x:v>
      </x:c>
      <x:c r="I161" s="10" t="str">
        <x:v>Editable SVG/layers + 1200 x 1200 WebP</x:v>
      </x:c>
      <x:c r="J161" s="10" t="str">
        <x:v>Generic workflow illustration</x:v>
      </x:c>
      <x:c r="K161" s="10" t="str">
        <x:v>CSS gradient + live UI</x:v>
      </x:c>
      <x:c r="L161" s="10" t="str">
        <x:v>580 x 580</x:v>
      </x:c>
      <x:c r="M161" s="10" t="str">
        <x:v>Pale mint, aqua, blue, navy</x:v>
      </x:c>
      <x:c r="N161" s="10" t="str">
        <x:v>Preserve the existing CSS gradient. Export foreground separately with transparent background. Keep key UI within the central 80%. Current copy repeats across two topics; keep the two placements distinct pending copy review.</x:v>
      </x:c>
      <x:c r="O161" s="10" t="str">
        <x:v>http://localhost:3000/products/databases#retrieval</x:v>
      </x:c>
    </x:row>
    <x:row r="162" ht="38" customHeight="1">
      <x:c r="A162" s="5" t="str">
        <x:v>P10-14</x:v>
      </x:c>
      <x:c r="B162" s="5" t="str">
        <x:v>Databases</x:v>
      </x:c>
      <x:c r="C162" s="5" t="str">
        <x:v>Related product thumbnail</x:v>
      </x:c>
      <x:c r="D162" s="5" t="str">
        <x:v>Platform</x:v>
      </x:c>
      <x:c r="E162" s="5" t="str">
        <x:v>A015</x:v>
      </x:c>
      <x:c r="F162" s="5" t="str">
        <x:v>A compact workspace overview linking agents, tools and shared knowledge.</x:v>
      </x:c>
      <x:c r="G162" s="5" t="str">
        <x:v>Create</x:v>
      </x:c>
      <x:c r="H162" s="5" t="str">
        <x:f>'Production assets'!F20</x:f>
        <x:v>Not started</x:v>
      </x:c>
      <x:c r="I162" s="5" t="str">
        <x:v>Editable SVG + 1200 x 1000 WebP</x:v>
      </x:c>
      <x:c r="J162" s="5" t="str">
        <x:v>Generic star on gradient</x:v>
      </x:c>
      <x:c r="K162" s="5" t="str">
        <x:v>/brand/calendly/assistant-hero.svg + star glyph</x:v>
      </x:c>
      <x:c r="L162" s="5" t="str">
        <x:v>227 x 189</x:v>
      </x:c>
      <x:c r="M162" s="5" t="str">
        <x:v>Ice blue, white, teal, deep green</x:v>
      </x:c>
      <x:c r="N162" s="5" t="str">
        <x:v>Create once and reuse across related-product cards and the Platform card rail. Keep the gradient separate.</x:v>
      </x:c>
      <x:c r="O162" s="5" t="str">
        <x:v>http://localhost:3000/products/databases</x:v>
      </x:c>
    </x:row>
    <x:row r="163" ht="38" customHeight="1">
      <x:c r="A163" s="10" t="str">
        <x:v>P10-15</x:v>
      </x:c>
      <x:c r="B163" s="10" t="str">
        <x:v>Databases</x:v>
      </x:c>
      <x:c r="C163" s="10" t="str">
        <x:v>Related product thumbnail</x:v>
      </x:c>
      <x:c r="D163" s="10" t="str">
        <x:v>Integrations</x:v>
      </x:c>
      <x:c r="E163" s="10" t="str">
        <x:v>A006</x:v>
      </x:c>
      <x:c r="F163" s="10" t="str">
        <x:v>A central Innflow node connected to a small set of tool tiles.</x:v>
      </x:c>
      <x:c r="G163" s="10" t="str">
        <x:v>Create</x:v>
      </x:c>
      <x:c r="H163" s="10" t="str">
        <x:f>'Production assets'!F11</x:f>
        <x:v>Not started</x:v>
      </x:c>
      <x:c r="I163" s="10" t="str">
        <x:v>Editable SVG + 1200 x 1000 WebP</x:v>
      </x:c>
      <x:c r="J163" s="10" t="str">
        <x:v>Generic star on gradient</x:v>
      </x:c>
      <x:c r="K163" s="10" t="str">
        <x:v>/brand/calendly/scheduling-hero.svg + star glyph</x:v>
      </x:c>
      <x:c r="L163" s="10" t="str">
        <x:v>227 x 189</x:v>
      </x:c>
      <x:c r="M163" s="10" t="str">
        <x:v>Sky blue, pale aqua, navy</x:v>
      </x:c>
      <x:c r="N163" s="10" t="str">
        <x:v>Create once and reuse across related-product cards and the Platform card rail. Keep the gradient separate.</x:v>
      </x:c>
      <x:c r="O163" s="10" t="str">
        <x:v>http://localhost:3000/products/databases</x:v>
      </x:c>
    </x:row>
    <x:row r="164" ht="38" customHeight="1">
      <x:c r="A164" s="5" t="str">
        <x:v>P10-16</x:v>
      </x:c>
      <x:c r="B164" s="5" t="str">
        <x:v>Databases</x:v>
      </x:c>
      <x:c r="C164" s="5" t="str">
        <x:v>Related product thumbnail</x:v>
      </x:c>
      <x:c r="D164" s="5" t="str">
        <x:v>Agentic Workflows</x:v>
      </x:c>
      <x:c r="E164" s="5" t="str">
        <x:v>A010</x:v>
      </x:c>
      <x:c r="F164" s="5" t="str">
        <x:v>A compact workflow canvas with trigger, branch and action nodes.</x:v>
      </x:c>
      <x:c r="G164" s="5" t="str">
        <x:v>Create</x:v>
      </x:c>
      <x:c r="H164" s="5" t="str">
        <x:f>'Production assets'!F15</x:f>
        <x:v>Not started</x:v>
      </x:c>
      <x:c r="I164" s="5" t="str">
        <x:v>Editable SVG + 1200 x 1000 WebP</x:v>
      </x:c>
      <x:c r="J164" s="5" t="str">
        <x:v>Generic star on gradient</x:v>
      </x:c>
      <x:c r="K164" s="5" t="str">
        <x:v>/brand/calendly/notetaker-hero.svg + star glyph</x:v>
      </x:c>
      <x:c r="L164" s="5" t="str">
        <x:v>227 x 189</x:v>
      </x:c>
      <x:c r="M164" s="5" t="str">
        <x:v>Navy, blue, blush, lavender</x:v>
      </x:c>
      <x:c r="N164" s="5" t="str">
        <x:v>Create once and reuse across related-product cards and the Platform card rail. Keep the gradient separate.</x:v>
      </x:c>
      <x:c r="O164" s="5" t="str">
        <x:v>http://localhost:3000/products/databases</x:v>
      </x:c>
    </x:row>
    <x:row r="165" ht="38" customHeight="1">
      <x:c r="A165" s="10" t="str">
        <x:v>P10-17</x:v>
      </x:c>
      <x:c r="B165" s="10" t="str">
        <x:v>Databases</x:v>
      </x:c>
      <x:c r="C165" s="10" t="str">
        <x:v>Related product thumbnail</x:v>
      </x:c>
      <x:c r="D165" s="10" t="str">
        <x:v>Agent OS</x:v>
      </x:c>
      <x:c r="E165" s="10" t="str">
        <x:v>A011</x:v>
      </x:c>
      <x:c r="F165" s="10" t="str">
        <x:v>A small orchestration graph connecting agents and shared memory.</x:v>
      </x:c>
      <x:c r="G165" s="10" t="str">
        <x:v>Create</x:v>
      </x:c>
      <x:c r="H165" s="10" t="str">
        <x:f>'Production assets'!F16</x:f>
        <x:v>Not started</x:v>
      </x:c>
      <x:c r="I165" s="10" t="str">
        <x:v>Editable SVG + 1200 x 1000 WebP</x:v>
      </x:c>
      <x:c r="J165" s="10" t="str">
        <x:v>Generic star on gradient</x:v>
      </x:c>
      <x:c r="K165" s="10" t="str">
        <x:v>/brand/calendly/contacts-hero.svg + star glyph</x:v>
      </x:c>
      <x:c r="L165" s="10" t="str">
        <x:v>227 x 189</x:v>
      </x:c>
      <x:c r="M165" s="10" t="str">
        <x:v>Cream, peach, pink, blue</x:v>
      </x:c>
      <x:c r="N165" s="10" t="str">
        <x:v>Create once and reuse across related-product cards and the Platform card rail. Keep the gradient separate.</x:v>
      </x:c>
      <x:c r="O165" s="10" t="str">
        <x:v>http://localhost:3000/products/databases</x:v>
      </x:c>
    </x:row>
    <x:row r="166" ht="38" customHeight="1">
      <x:c r="A166" s="5" t="str">
        <x:v>P10-18</x:v>
      </x:c>
      <x:c r="B166" s="5" t="str">
        <x:v>Databases</x:v>
      </x:c>
      <x:c r="C166" s="5" t="str">
        <x:v>Related product thumbnail</x:v>
      </x:c>
      <x:c r="D166" s="5" t="str">
        <x:v>AI Agents</x:v>
      </x:c>
      <x:c r="E166" s="5" t="str">
        <x:v>A012</x:v>
      </x:c>
      <x:c r="F166" s="5" t="str">
        <x:v>An agent task card with linked evidence and a proposed next action.</x:v>
      </x:c>
      <x:c r="G166" s="5" t="str">
        <x:v>Create</x:v>
      </x:c>
      <x:c r="H166" s="5" t="str">
        <x:f>'Production assets'!F17</x:f>
        <x:v>Not started</x:v>
      </x:c>
      <x:c r="I166" s="5" t="str">
        <x:v>Editable SVG + 1200 x 1000 WebP</x:v>
      </x:c>
      <x:c r="J166" s="5" t="str">
        <x:v>Generic star on gradient</x:v>
      </x:c>
      <x:c r="K166" s="5" t="str">
        <x:v>/brand/calendly/payments-hero.svg + star glyph</x:v>
      </x:c>
      <x:c r="L166" s="5" t="str">
        <x:v>227 x 189</x:v>
      </x:c>
      <x:c r="M166" s="5" t="str">
        <x:v>Pale mint, aqua, blue, navy</x:v>
      </x:c>
      <x:c r="N166" s="5" t="str">
        <x:v>Create once and reuse across related-product cards and the Platform card rail. Keep the gradient separate.</x:v>
      </x:c>
      <x:c r="O166" s="5" t="str">
        <x:v>http://localhost:3000/products/databases</x:v>
      </x:c>
    </x:row>
    <x:row r="167" ht="38" customHeight="1">
      <x:c r="A167" s="10" t="str">
        <x:v>P11-01</x:v>
      </x:c>
      <x:c r="B167" s="10" t="str">
        <x:v>Agentic Automation</x:v>
      </x:c>
      <x:c r="C167" s="10" t="str">
        <x:v>Hero background</x:v>
      </x:c>
      <x:c r="D167" s="10" t="str">
        <x:v>Give recurring work a clear path forward.</x:v>
      </x:c>
      <x:c r="E167" s="10" t="str">
        <x:v>A001</x:v>
      </x:c>
      <x:c r="F167" s="10" t="str">
        <x:v>Reuse the existing Paper SVG as a separate background layer. No new background required.</x:v>
      </x:c>
      <x:c r="G167" s="10" t="str">
        <x:v>Reuse</x:v>
      </x:c>
      <x:c r="H167" s="10" t="str">
        <x:f>'Production assets'!F6</x:f>
        <x:v>Existing</x:v>
      </x:c>
      <x:c r="I167" s="10" t="str">
        <x:v>Existing scalable SVG</x:v>
      </x:c>
      <x:c r="J167" s="10" t="str">
        <x:v>Existing background</x:v>
      </x:c>
      <x:c r="K167" s="10" t="str">
        <x:v>/brand/calendly/assistant-hero.svg</x:v>
      </x:c>
      <x:c r="L167" s="10" t="str">
        <x:v>1387 x 776</x:v>
      </x:c>
      <x:c r="M167" s="10" t="str">
        <x:v>Ice blue, white, teal, deep green</x:v>
      </x:c>
      <x:c r="N167" s="10" t="str">
        <x:v>Shared by every page using this style.</x:v>
      </x:c>
      <x:c r="O167" s="10" t="str">
        <x:v>http://localhost:3000/platform/agentic-automation</x:v>
      </x:c>
    </x:row>
    <x:row r="168" ht="51" customHeight="1">
      <x:c r="A168" s="5" t="str">
        <x:v>P11-02</x:v>
      </x:c>
      <x:c r="B168" s="5" t="str">
        <x:v>Agentic Automation</x:v>
      </x:c>
      <x:c r="C168" s="5" t="str">
        <x:v>Capability overview</x:v>
      </x:c>
      <x:c r="D168" s="5" t="str">
        <x:v>Workflow logic</x:v>
      </x:c>
      <x:c r="E168" s="5" t="str">
        <x:v>A074</x:v>
      </x:c>
      <x:c r="F168" s="5" t="str">
        <x:v>A process graph splitting a routine request from an exception that needs reasoning and review.</x:v>
      </x:c>
      <x:c r="G168" s="5" t="str">
        <x:v>Rework</x:v>
      </x:c>
      <x:c r="H168" s="5" t="str">
        <x:f>'Production assets'!F79</x:f>
        <x:v>Not started</x:v>
      </x:c>
      <x:c r="I168" s="5" t="str">
        <x:v>Editable SVG/layers + 1200 x 1200 WebP</x:v>
      </x:c>
      <x:c r="J168" s="5" t="str">
        <x:v>Existing product image</x:v>
      </x:c>
      <x:c r="K168" s="5" t="str">
        <x:v>/brand/platform/agentic-automation/reasoning.jpg</x:v>
      </x:c>
      <x:c r="L168" s="5" t="str">
        <x:v>580 x 580</x:v>
      </x:c>
      <x:c r="M168" s="5" t="str">
        <x:v>Ice blue, white, teal, deep green</x:v>
      </x:c>
      <x:c r="N168" s="5" t="str">
        <x:v>Preserve the existing CSS gradient. Export foreground separately with transparent background. Keep key UI within the central 80%. Reuses the first feature detail artwork.</x:v>
      </x:c>
      <x:c r="O168" s="5" t="str">
        <x:v>http://localhost:3000/platform/agentic-automation#reasoning</x:v>
      </x:c>
    </x:row>
    <x:row r="169" ht="51" customHeight="1">
      <x:c r="A169" s="10" t="str">
        <x:v>P11-03</x:v>
      </x:c>
      <x:c r="B169" s="10" t="str">
        <x:v>Agentic Automation</x:v>
      </x:c>
      <x:c r="C169" s="10" t="str">
        <x:v>Feature card</x:v>
      </x:c>
      <x:c r="D169" s="10" t="str">
        <x:v>Plan the steps. Make room for judgment.</x:v>
      </x:c>
      <x:c r="E169" s="10" t="str">
        <x:v>A074</x:v>
      </x:c>
      <x:c r="F169" s="10" t="str">
        <x:v>A process graph splitting a routine request from an exception that needs reasoning and review.</x:v>
      </x:c>
      <x:c r="G169" s="10" t="str">
        <x:v>Rework</x:v>
      </x:c>
      <x:c r="H169" s="10" t="str">
        <x:f>'Production assets'!F79</x:f>
        <x:v>Not started</x:v>
      </x:c>
      <x:c r="I169" s="10" t="str">
        <x:v>1200 x 1000 WebP crop of shared master</x:v>
      </x:c>
      <x:c r="J169" s="10" t="str">
        <x:v>Existing product image</x:v>
      </x:c>
      <x:c r="K169" s="10" t="str">
        <x:v>/brand/platform/agentic-automation/reasoning.jpg</x:v>
      </x:c>
      <x:c r="L169" s="10" t="str">
        <x:v>320 x 267</x:v>
      </x:c>
      <x:c r="M169" s="10" t="str">
        <x:v>Ice blue, white, teal, deep green</x:v>
      </x:c>
      <x:c r="N169" s="10" t="str">
        <x:v>Preserve the existing CSS gradient. Export foreground separately with transparent background. Keep key UI within the central 80%.</x:v>
      </x:c>
      <x:c r="O169" s="10" t="str">
        <x:v>http://localhost:3000/platform/agentic-automation#reasoning</x:v>
      </x:c>
    </x:row>
    <x:row r="170" ht="51" customHeight="1">
      <x:c r="A170" s="5" t="str">
        <x:v>P11-04</x:v>
      </x:c>
      <x:c r="B170" s="5" t="str">
        <x:v>Agentic Automation</x:v>
      </x:c>
      <x:c r="C170" s="5" t="str">
        <x:v>Feature card</x:v>
      </x:c>
      <x:c r="D170" s="5" t="str">
        <x:v>Start with the way information arrives.</x:v>
      </x:c>
      <x:c r="E170" s="5" t="str">
        <x:v>A075</x:v>
      </x:c>
      <x:c r="F170" s="5" t="str">
        <x:v>Email, document and note cards converging into one normalized request record.</x:v>
      </x:c>
      <x:c r="G170" s="5" t="str">
        <x:v>Rework</x:v>
      </x:c>
      <x:c r="H170" s="5" t="str">
        <x:f>'Production assets'!F80</x:f>
        <x:v>Not started</x:v>
      </x:c>
      <x:c r="I170" s="5" t="str">
        <x:v>1200 x 1000 WebP crop of shared master</x:v>
      </x:c>
      <x:c r="J170" s="5" t="str">
        <x:v>Existing product image</x:v>
      </x:c>
      <x:c r="K170" s="5" t="str">
        <x:v>/brand/platform/agentic-automation/variety.jpg</x:v>
      </x:c>
      <x:c r="L170" s="5" t="str">
        <x:v>320 x 267</x:v>
      </x:c>
      <x:c r="M170" s="5" t="str">
        <x:v>Ice blue, white, teal, deep green</x:v>
      </x:c>
      <x:c r="N170" s="5" t="str">
        <x:v>Preserve the existing CSS gradient. Export foreground separately with transparent background. Keep key UI within the central 80%.</x:v>
      </x:c>
      <x:c r="O170" s="5" t="str">
        <x:v>http://localhost:3000/platform/agentic-automation#variety</x:v>
      </x:c>
    </x:row>
    <x:row r="171" ht="51" customHeight="1">
      <x:c r="A171" s="10" t="str">
        <x:v>P11-05</x:v>
      </x:c>
      <x:c r="B171" s="10" t="str">
        <x:v>Agentic Automation</x:v>
      </x:c>
      <x:c r="C171" s="10" t="str">
        <x:v>Feature card</x:v>
      </x:c>
      <x:c r="D171" s="10" t="str">
        <x:v>Connect the tools involved in the task.</x:v>
      </x:c>
      <x:c r="E171" s="10" t="str">
        <x:v>A076</x:v>
      </x:c>
      <x:c r="F171" s="10" t="str">
        <x:v>A workflow connecting its inbox, shared record and action tools with scoped handoffs.</x:v>
      </x:c>
      <x:c r="G171" s="10" t="str">
        <x:v>Rework</x:v>
      </x:c>
      <x:c r="H171" s="10" t="str">
        <x:f>'Production assets'!F81</x:f>
        <x:v>Not started</x:v>
      </x:c>
      <x:c r="I171" s="10" t="str">
        <x:v>1200 x 1000 WebP crop of shared master</x:v>
      </x:c>
      <x:c r="J171" s="10" t="str">
        <x:v>Existing product image</x:v>
      </x:c>
      <x:c r="K171" s="10" t="str">
        <x:v>/brand/platform/agentic-automation/integrations.jpg</x:v>
      </x:c>
      <x:c r="L171" s="10" t="str">
        <x:v>320 x 267</x:v>
      </x:c>
      <x:c r="M171" s="10" t="str">
        <x:v>Ice blue, white, teal, deep green</x:v>
      </x:c>
      <x:c r="N171" s="10" t="str">
        <x:v>Preserve the existing CSS gradient. Export foreground separately with transparent background. Keep key UI within the central 80%.</x:v>
      </x:c>
      <x:c r="O171" s="10" t="str">
        <x:v>http://localhost:3000/platform/agentic-automation#integrations</x:v>
      </x:c>
    </x:row>
    <x:row r="172" ht="51" customHeight="1">
      <x:c r="A172" s="5" t="str">
        <x:v>P11-06</x:v>
      </x:c>
      <x:c r="B172" s="5" t="str">
        <x:v>Agentic Automation</x:v>
      </x:c>
      <x:c r="C172" s="5" t="str">
        <x:v>Feature card</x:v>
      </x:c>
      <x:c r="D172" s="5" t="str">
        <x:v>Use experience to refine the process.</x:v>
      </x:c>
      <x:c r="E172" s="5" t="str">
        <x:v>A077</x:v>
      </x:c>
      <x:c r="F172" s="5" t="str">
        <x:v>A reviewed correction feeding a proposed workflow revision and a retest.</x:v>
      </x:c>
      <x:c r="G172" s="5" t="str">
        <x:v>Rework</x:v>
      </x:c>
      <x:c r="H172" s="5" t="str">
        <x:f>'Production assets'!F82</x:f>
        <x:v>Not started</x:v>
      </x:c>
      <x:c r="I172" s="5" t="str">
        <x:v>1200 x 1000 WebP crop of shared master</x:v>
      </x:c>
      <x:c r="J172" s="5" t="str">
        <x:v>Existing product image</x:v>
      </x:c>
      <x:c r="K172" s="5" t="str">
        <x:v>/brand/platform/agentic-automation/learning.jpg</x:v>
      </x:c>
      <x:c r="L172" s="5" t="str">
        <x:v>320 x 267</x:v>
      </x:c>
      <x:c r="M172" s="5" t="str">
        <x:v>Ice blue, white, teal, deep green</x:v>
      </x:c>
      <x:c r="N172" s="5" t="str">
        <x:v>Preserve the existing CSS gradient. Export foreground separately with transparent background. Keep key UI within the central 80%.</x:v>
      </x:c>
      <x:c r="O172" s="5" t="str">
        <x:v>http://localhost:3000/platform/agentic-automation#learning</x:v>
      </x:c>
    </x:row>
    <x:row r="173" ht="51" customHeight="1">
      <x:c r="A173" s="10" t="str">
        <x:v>P11-07</x:v>
      </x:c>
      <x:c r="B173" s="10" t="str">
        <x:v>Agentic Automation</x:v>
      </x:c>
      <x:c r="C173" s="10" t="str">
        <x:v>Feature card</x:v>
      </x:c>
      <x:c r="D173" s="10" t="str">
        <x:v>Define a successful outcome.</x:v>
      </x:c>
      <x:c r="E173" s="10" t="str">
        <x:v>A078</x:v>
      </x:c>
      <x:c r="F173" s="10" t="str">
        <x:v>An outcome rubric beside a workflow result, with expected fields and a review state.</x:v>
      </x:c>
      <x:c r="G173" s="10" t="str">
        <x:v>Rework</x:v>
      </x:c>
      <x:c r="H173" s="10" t="str">
        <x:f>'Production assets'!F83</x:f>
        <x:v>Not started</x:v>
      </x:c>
      <x:c r="I173" s="10" t="str">
        <x:v>1200 x 1000 WebP crop of shared master</x:v>
      </x:c>
      <x:c r="J173" s="10" t="str">
        <x:v>Existing product image</x:v>
      </x:c>
      <x:c r="K173" s="10" t="str">
        <x:v>/brand/platform/agentic-automation/evaluations.jpg</x:v>
      </x:c>
      <x:c r="L173" s="10" t="str">
        <x:v>320 x 267</x:v>
      </x:c>
      <x:c r="M173" s="10" t="str">
        <x:v>Ice blue, white, teal, deep green</x:v>
      </x:c>
      <x:c r="N173" s="10" t="str">
        <x:v>Preserve the existing CSS gradient. Export foreground separately with transparent background. Keep key UI within the central 80%.</x:v>
      </x:c>
      <x:c r="O173" s="10" t="str">
        <x:v>http://localhost:3000/platform/agentic-automation#evaluations</x:v>
      </x:c>
    </x:row>
    <x:row r="174" ht="51" customHeight="1">
      <x:c r="A174" s="5" t="str">
        <x:v>P11-08</x:v>
      </x:c>
      <x:c r="B174" s="5" t="str">
        <x:v>Agentic Automation</x:v>
      </x:c>
      <x:c r="C174" s="5" t="str">
        <x:v>Feature card</x:v>
      </x:c>
      <x:c r="D174" s="5" t="str">
        <x:v>Put people at the right decision points.</x:v>
      </x:c>
      <x:c r="E174" s="5" t="str">
        <x:v>A079</x:v>
      </x:c>
      <x:c r="F174" s="5" t="str">
        <x:v>An approval gate inserted before a consequential workflow action.</x:v>
      </x:c>
      <x:c r="G174" s="5" t="str">
        <x:v>Rework</x:v>
      </x:c>
      <x:c r="H174" s="5" t="str">
        <x:f>'Production assets'!F84</x:f>
        <x:v>Not started</x:v>
      </x:c>
      <x:c r="I174" s="5" t="str">
        <x:v>1200 x 1000 WebP crop of shared master</x:v>
      </x:c>
      <x:c r="J174" s="5" t="str">
        <x:v>Existing product image</x:v>
      </x:c>
      <x:c r="K174" s="5" t="str">
        <x:v>/brand/platform/agentic-automation/oversight.jpg</x:v>
      </x:c>
      <x:c r="L174" s="5" t="str">
        <x:v>320 x 267</x:v>
      </x:c>
      <x:c r="M174" s="5" t="str">
        <x:v>Ice blue, white, teal, deep green</x:v>
      </x:c>
      <x:c r="N174" s="5" t="str">
        <x:v>Preserve the existing CSS gradient. Export foreground separately with transparent background. Keep key UI within the central 80%.</x:v>
      </x:c>
      <x:c r="O174" s="5" t="str">
        <x:v>http://localhost:3000/platform/agentic-automation#oversight</x:v>
      </x:c>
    </x:row>
    <x:row r="175" ht="51" customHeight="1">
      <x:c r="A175" s="10" t="str">
        <x:v>P11-09</x:v>
      </x:c>
      <x:c r="B175" s="10" t="str">
        <x:v>Agentic Automation</x:v>
      </x:c>
      <x:c r="C175" s="10" t="str">
        <x:v>Feature card</x:v>
      </x:c>
      <x:c r="D175" s="10" t="str">
        <x:v>Make every handoff intentional.</x:v>
      </x:c>
      <x:c r="E175" s="10" t="str">
        <x:v>A080</x:v>
      </x:c>
      <x:c r="F175" s="10" t="str">
        <x:v>An agent handoff map showing each owner and the context transferred at every step.</x:v>
      </x:c>
      <x:c r="G175" s="10" t="str">
        <x:v>Rework</x:v>
      </x:c>
      <x:c r="H175" s="10" t="str">
        <x:f>'Production assets'!F85</x:f>
        <x:v>Not started</x:v>
      </x:c>
      <x:c r="I175" s="10" t="str">
        <x:v>1200 x 1000 WebP crop of shared master</x:v>
      </x:c>
      <x:c r="J175" s="10" t="str">
        <x:v>Existing product image</x:v>
      </x:c>
      <x:c r="K175" s="10" t="str">
        <x:v>/brand/platform/agentic-automation/orchestration.jpg</x:v>
      </x:c>
      <x:c r="L175" s="10" t="str">
        <x:v>320 x 267</x:v>
      </x:c>
      <x:c r="M175" s="10" t="str">
        <x:v>Ice blue, white, teal, deep green</x:v>
      </x:c>
      <x:c r="N175" s="10" t="str">
        <x:v>Preserve the existing CSS gradient. Export foreground separately with transparent background. Keep key UI within the central 80%.</x:v>
      </x:c>
      <x:c r="O175" s="10" t="str">
        <x:v>http://localhost:3000/platform/agentic-automation#orchestration</x:v>
      </x:c>
    </x:row>
    <x:row r="176" ht="51" customHeight="1">
      <x:c r="A176" s="5" t="str">
        <x:v>P11-10</x:v>
      </x:c>
      <x:c r="B176" s="5" t="str">
        <x:v>Agentic Automation</x:v>
      </x:c>
      <x:c r="C176" s="5" t="str">
        <x:v>Feature card</x:v>
      </x:c>
      <x:c r="D176" s="5" t="str">
        <x:v>Prepare for everyday use.</x:v>
      </x:c>
      <x:c r="E176" s="5" t="str">
        <x:v>A081</x:v>
      </x:c>
      <x:c r="F176" s="5" t="str">
        <x:v>A workflow operations panel with run status, exception queue and assigned reviewer.</x:v>
      </x:c>
      <x:c r="G176" s="5" t="str">
        <x:v>Rework</x:v>
      </x:c>
      <x:c r="H176" s="5" t="str">
        <x:f>'Production assets'!F86</x:f>
        <x:v>Not started</x:v>
      </x:c>
      <x:c r="I176" s="5" t="str">
        <x:v>1200 x 1000 WebP crop of shared master</x:v>
      </x:c>
      <x:c r="J176" s="5" t="str">
        <x:v>Existing product image</x:v>
      </x:c>
      <x:c r="K176" s="5" t="str">
        <x:v>/brand/platform/agentic-automation/reasoning.jpg</x:v>
      </x:c>
      <x:c r="L176" s="5" t="str">
        <x:v>320 x 267</x:v>
      </x:c>
      <x:c r="M176" s="5" t="str">
        <x:v>Ice blue, white, teal, deep green</x:v>
      </x:c>
      <x:c r="N176" s="5" t="str">
        <x:v>Preserve the existing CSS gradient. Export foreground separately with transparent background. Keep key UI within the central 80%.</x:v>
      </x:c>
      <x:c r="O176" s="5" t="str">
        <x:v>http://localhost:3000/platform/agentic-automation#operations</x:v>
      </x:c>
    </x:row>
    <x:row r="177" ht="51" customHeight="1">
      <x:c r="A177" s="10" t="str">
        <x:v>P11-11</x:v>
      </x:c>
      <x:c r="B177" s="10" t="str">
        <x:v>Agentic Automation</x:v>
      </x:c>
      <x:c r="C177" s="10" t="str">
        <x:v>Feature detail</x:v>
      </x:c>
      <x:c r="D177" s="10" t="str">
        <x:v>Plan the steps. Make room for judgment.</x:v>
      </x:c>
      <x:c r="E177" s="10" t="str">
        <x:v>A074</x:v>
      </x:c>
      <x:c r="F177" s="10" t="str">
        <x:v>A process graph splitting a routine request from an exception that needs reasoning and review.</x:v>
      </x:c>
      <x:c r="G177" s="10" t="str">
        <x:v>Rework</x:v>
      </x:c>
      <x:c r="H177" s="10" t="str">
        <x:f>'Production assets'!F79</x:f>
        <x:v>Not started</x:v>
      </x:c>
      <x:c r="I177" s="10" t="str">
        <x:v>Editable SVG/layers + 1200 x 1200 WebP</x:v>
      </x:c>
      <x:c r="J177" s="10" t="str">
        <x:v>Existing product image</x:v>
      </x:c>
      <x:c r="K177" s="10" t="str">
        <x:v>/brand/platform/agentic-automation/reasoning.jpg</x:v>
      </x:c>
      <x:c r="L177" s="10" t="str">
        <x:v>580 x 580</x:v>
      </x:c>
      <x:c r="M177" s="10" t="str">
        <x:v>Ice blue, white, teal, deep green</x:v>
      </x:c>
      <x:c r="N177" s="10" t="str">
        <x:v>Preserve the existing CSS gradient. Export foreground separately with transparent background. Keep key UI within the central 80%.</x:v>
      </x:c>
      <x:c r="O177" s="10" t="str">
        <x:v>http://localhost:3000/platform/agentic-automation#reasoning</x:v>
      </x:c>
    </x:row>
    <x:row r="178" ht="51" customHeight="1">
      <x:c r="A178" s="5" t="str">
        <x:v>P11-12</x:v>
      </x:c>
      <x:c r="B178" s="5" t="str">
        <x:v>Agentic Automation</x:v>
      </x:c>
      <x:c r="C178" s="5" t="str">
        <x:v>Feature detail</x:v>
      </x:c>
      <x:c r="D178" s="5" t="str">
        <x:v>Start with the way information arrives.</x:v>
      </x:c>
      <x:c r="E178" s="5" t="str">
        <x:v>A075</x:v>
      </x:c>
      <x:c r="F178" s="5" t="str">
        <x:v>Email, document and note cards converging into one normalized request record.</x:v>
      </x:c>
      <x:c r="G178" s="5" t="str">
        <x:v>Rework</x:v>
      </x:c>
      <x:c r="H178" s="5" t="str">
        <x:f>'Production assets'!F80</x:f>
        <x:v>Not started</x:v>
      </x:c>
      <x:c r="I178" s="5" t="str">
        <x:v>Editable SVG/layers + 1200 x 1200 WebP</x:v>
      </x:c>
      <x:c r="J178" s="5" t="str">
        <x:v>Existing product image</x:v>
      </x:c>
      <x:c r="K178" s="5" t="str">
        <x:v>/brand/platform/agentic-automation/variety.jpg</x:v>
      </x:c>
      <x:c r="L178" s="5" t="str">
        <x:v>532 x 532</x:v>
      </x:c>
      <x:c r="M178" s="5" t="str">
        <x:v>Ice blue, white, teal, deep green</x:v>
      </x:c>
      <x:c r="N178" s="5" t="str">
        <x:v>Preserve the existing CSS gradient. Export foreground separately with transparent background. Keep key UI within the central 80%.</x:v>
      </x:c>
      <x:c r="O178" s="5" t="str">
        <x:v>http://localhost:3000/platform/agentic-automation#variety</x:v>
      </x:c>
    </x:row>
    <x:row r="179" ht="51" customHeight="1">
      <x:c r="A179" s="10" t="str">
        <x:v>P11-13</x:v>
      </x:c>
      <x:c r="B179" s="10" t="str">
        <x:v>Agentic Automation</x:v>
      </x:c>
      <x:c r="C179" s="10" t="str">
        <x:v>Feature detail</x:v>
      </x:c>
      <x:c r="D179" s="10" t="str">
        <x:v>Connect the tools involved in the task.</x:v>
      </x:c>
      <x:c r="E179" s="10" t="str">
        <x:v>A076</x:v>
      </x:c>
      <x:c r="F179" s="10" t="str">
        <x:v>A workflow connecting its inbox, shared record and action tools with scoped handoffs.</x:v>
      </x:c>
      <x:c r="G179" s="10" t="str">
        <x:v>Rework</x:v>
      </x:c>
      <x:c r="H179" s="10" t="str">
        <x:f>'Production assets'!F81</x:f>
        <x:v>Not started</x:v>
      </x:c>
      <x:c r="I179" s="10" t="str">
        <x:v>Editable SVG/layers + 1200 x 1200 WebP</x:v>
      </x:c>
      <x:c r="J179" s="10" t="str">
        <x:v>Existing product image</x:v>
      </x:c>
      <x:c r="K179" s="10" t="str">
        <x:v>/brand/platform/agentic-automation/integrations.jpg</x:v>
      </x:c>
      <x:c r="L179" s="10" t="str">
        <x:v>580 x 580</x:v>
      </x:c>
      <x:c r="M179" s="10" t="str">
        <x:v>Ice blue, white, teal, deep green</x:v>
      </x:c>
      <x:c r="N179" s="10" t="str">
        <x:v>Preserve the existing CSS gradient. Export foreground separately with transparent background. Keep key UI within the central 80%.</x:v>
      </x:c>
      <x:c r="O179" s="10" t="str">
        <x:v>http://localhost:3000/platform/agentic-automation#integrations</x:v>
      </x:c>
    </x:row>
    <x:row r="180" ht="51" customHeight="1">
      <x:c r="A180" s="5" t="str">
        <x:v>P11-14</x:v>
      </x:c>
      <x:c r="B180" s="5" t="str">
        <x:v>Agentic Automation</x:v>
      </x:c>
      <x:c r="C180" s="5" t="str">
        <x:v>Feature detail</x:v>
      </x:c>
      <x:c r="D180" s="5" t="str">
        <x:v>Use experience to refine the process.</x:v>
      </x:c>
      <x:c r="E180" s="5" t="str">
        <x:v>A077</x:v>
      </x:c>
      <x:c r="F180" s="5" t="str">
        <x:v>A reviewed correction feeding a proposed workflow revision and a retest.</x:v>
      </x:c>
      <x:c r="G180" s="5" t="str">
        <x:v>Rework</x:v>
      </x:c>
      <x:c r="H180" s="5" t="str">
        <x:f>'Production assets'!F82</x:f>
        <x:v>Not started</x:v>
      </x:c>
      <x:c r="I180" s="5" t="str">
        <x:v>Editable SVG/layers + 1200 x 1200 WebP</x:v>
      </x:c>
      <x:c r="J180" s="5" t="str">
        <x:v>Existing product image</x:v>
      </x:c>
      <x:c r="K180" s="5" t="str">
        <x:v>/brand/platform/agentic-automation/learning.jpg</x:v>
      </x:c>
      <x:c r="L180" s="5" t="str">
        <x:v>532 x 532</x:v>
      </x:c>
      <x:c r="M180" s="5" t="str">
        <x:v>Ice blue, white, teal, deep green</x:v>
      </x:c>
      <x:c r="N180" s="5" t="str">
        <x:v>Preserve the existing CSS gradient. Export foreground separately with transparent background. Keep key UI within the central 80%.</x:v>
      </x:c>
      <x:c r="O180" s="5" t="str">
        <x:v>http://localhost:3000/platform/agentic-automation#learning</x:v>
      </x:c>
    </x:row>
    <x:row r="181" ht="51" customHeight="1">
      <x:c r="A181" s="10" t="str">
        <x:v>P11-15</x:v>
      </x:c>
      <x:c r="B181" s="10" t="str">
        <x:v>Agentic Automation</x:v>
      </x:c>
      <x:c r="C181" s="10" t="str">
        <x:v>Feature detail</x:v>
      </x:c>
      <x:c r="D181" s="10" t="str">
        <x:v>Define a successful outcome.</x:v>
      </x:c>
      <x:c r="E181" s="10" t="str">
        <x:v>A078</x:v>
      </x:c>
      <x:c r="F181" s="10" t="str">
        <x:v>An outcome rubric beside a workflow result, with expected fields and a review state.</x:v>
      </x:c>
      <x:c r="G181" s="10" t="str">
        <x:v>Rework</x:v>
      </x:c>
      <x:c r="H181" s="10" t="str">
        <x:f>'Production assets'!F83</x:f>
        <x:v>Not started</x:v>
      </x:c>
      <x:c r="I181" s="10" t="str">
        <x:v>Editable SVG/layers + 1200 x 1200 WebP</x:v>
      </x:c>
      <x:c r="J181" s="10" t="str">
        <x:v>Existing product image</x:v>
      </x:c>
      <x:c r="K181" s="10" t="str">
        <x:v>/brand/platform/agentic-automation/evaluations.jpg</x:v>
      </x:c>
      <x:c r="L181" s="10" t="str">
        <x:v>580 x 580</x:v>
      </x:c>
      <x:c r="M181" s="10" t="str">
        <x:v>Ice blue, white, teal, deep green</x:v>
      </x:c>
      <x:c r="N181" s="10" t="str">
        <x:v>Preserve the existing CSS gradient. Export foreground separately with transparent background. Keep key UI within the central 80%.</x:v>
      </x:c>
      <x:c r="O181" s="10" t="str">
        <x:v>http://localhost:3000/platform/agentic-automation#evaluations</x:v>
      </x:c>
    </x:row>
    <x:row r="182" ht="51" customHeight="1">
      <x:c r="A182" s="5" t="str">
        <x:v>P11-16</x:v>
      </x:c>
      <x:c r="B182" s="5" t="str">
        <x:v>Agentic Automation</x:v>
      </x:c>
      <x:c r="C182" s="5" t="str">
        <x:v>Feature detail</x:v>
      </x:c>
      <x:c r="D182" s="5" t="str">
        <x:v>Put people at the right decision points.</x:v>
      </x:c>
      <x:c r="E182" s="5" t="str">
        <x:v>A079</x:v>
      </x:c>
      <x:c r="F182" s="5" t="str">
        <x:v>An approval gate inserted before a consequential workflow action.</x:v>
      </x:c>
      <x:c r="G182" s="5" t="str">
        <x:v>Rework</x:v>
      </x:c>
      <x:c r="H182" s="5" t="str">
        <x:f>'Production assets'!F84</x:f>
        <x:v>Not started</x:v>
      </x:c>
      <x:c r="I182" s="5" t="str">
        <x:v>Editable SVG/layers + 1200 x 1200 WebP</x:v>
      </x:c>
      <x:c r="J182" s="5" t="str">
        <x:v>Existing product image</x:v>
      </x:c>
      <x:c r="K182" s="5" t="str">
        <x:v>/brand/platform/agentic-automation/oversight.jpg</x:v>
      </x:c>
      <x:c r="L182" s="5" t="str">
        <x:v>532 x 532</x:v>
      </x:c>
      <x:c r="M182" s="5" t="str">
        <x:v>Ice blue, white, teal, deep green</x:v>
      </x:c>
      <x:c r="N182" s="5" t="str">
        <x:v>Preserve the existing CSS gradient. Export foreground separately with transparent background. Keep key UI within the central 80%.</x:v>
      </x:c>
      <x:c r="O182" s="5" t="str">
        <x:v>http://localhost:3000/platform/agentic-automation#oversight</x:v>
      </x:c>
    </x:row>
    <x:row r="183" ht="51" customHeight="1">
      <x:c r="A183" s="10" t="str">
        <x:v>P11-17</x:v>
      </x:c>
      <x:c r="B183" s="10" t="str">
        <x:v>Agentic Automation</x:v>
      </x:c>
      <x:c r="C183" s="10" t="str">
        <x:v>Feature detail</x:v>
      </x:c>
      <x:c r="D183" s="10" t="str">
        <x:v>Make every handoff intentional.</x:v>
      </x:c>
      <x:c r="E183" s="10" t="str">
        <x:v>A080</x:v>
      </x:c>
      <x:c r="F183" s="10" t="str">
        <x:v>An agent handoff map showing each owner and the context transferred at every step.</x:v>
      </x:c>
      <x:c r="G183" s="10" t="str">
        <x:v>Rework</x:v>
      </x:c>
      <x:c r="H183" s="10" t="str">
        <x:f>'Production assets'!F85</x:f>
        <x:v>Not started</x:v>
      </x:c>
      <x:c r="I183" s="10" t="str">
        <x:v>Editable SVG/layers + 1200 x 1200 WebP</x:v>
      </x:c>
      <x:c r="J183" s="10" t="str">
        <x:v>Existing product image</x:v>
      </x:c>
      <x:c r="K183" s="10" t="str">
        <x:v>/brand/platform/agentic-automation/orchestration.jpg</x:v>
      </x:c>
      <x:c r="L183" s="10" t="str">
        <x:v>580 x 580</x:v>
      </x:c>
      <x:c r="M183" s="10" t="str">
        <x:v>Ice blue, white, teal, deep green</x:v>
      </x:c>
      <x:c r="N183" s="10" t="str">
        <x:v>Preserve the existing CSS gradient. Export foreground separately with transparent background. Keep key UI within the central 80%.</x:v>
      </x:c>
      <x:c r="O183" s="10" t="str">
        <x:v>http://localhost:3000/platform/agentic-automation#orchestration</x:v>
      </x:c>
    </x:row>
    <x:row r="184" ht="51" customHeight="1">
      <x:c r="A184" s="5" t="str">
        <x:v>P11-18</x:v>
      </x:c>
      <x:c r="B184" s="5" t="str">
        <x:v>Agentic Automation</x:v>
      </x:c>
      <x:c r="C184" s="5" t="str">
        <x:v>Feature detail</x:v>
      </x:c>
      <x:c r="D184" s="5" t="str">
        <x:v>Prepare for everyday use.</x:v>
      </x:c>
      <x:c r="E184" s="5" t="str">
        <x:v>A081</x:v>
      </x:c>
      <x:c r="F184" s="5" t="str">
        <x:v>A workflow operations panel with run status, exception queue and assigned reviewer.</x:v>
      </x:c>
      <x:c r="G184" s="5" t="str">
        <x:v>Rework</x:v>
      </x:c>
      <x:c r="H184" s="5" t="str">
        <x:f>'Production assets'!F86</x:f>
        <x:v>Not started</x:v>
      </x:c>
      <x:c r="I184" s="5" t="str">
        <x:v>Editable SVG/layers + 1200 x 1200 WebP</x:v>
      </x:c>
      <x:c r="J184" s="5" t="str">
        <x:v>Existing product image</x:v>
      </x:c>
      <x:c r="K184" s="5" t="str">
        <x:v>/brand/platform/agentic-automation/reasoning.jpg</x:v>
      </x:c>
      <x:c r="L184" s="5" t="str">
        <x:v>532 x 532</x:v>
      </x:c>
      <x:c r="M184" s="5" t="str">
        <x:v>Ice blue, white, teal, deep green</x:v>
      </x:c>
      <x:c r="N184" s="5" t="str">
        <x:v>Preserve the existing CSS gradient. Export foreground separately with transparent background. Keep key UI within the central 80%.</x:v>
      </x:c>
      <x:c r="O184" s="5" t="str">
        <x:v>http://localhost:3000/platform/agentic-automation#operations</x:v>
      </x:c>
    </x:row>
    <x:row r="185" ht="38" customHeight="1">
      <x:c r="A185" s="10" t="str">
        <x:v>P11-19</x:v>
      </x:c>
      <x:c r="B185" s="10" t="str">
        <x:v>Agentic Automation</x:v>
      </x:c>
      <x:c r="C185" s="10" t="str">
        <x:v>Related product thumbnail</x:v>
      </x:c>
      <x:c r="D185" s="10" t="str">
        <x:v>Platform</x:v>
      </x:c>
      <x:c r="E185" s="10" t="str">
        <x:v>A015</x:v>
      </x:c>
      <x:c r="F185" s="10" t="str">
        <x:v>A compact workspace overview linking agents, tools and shared knowledge.</x:v>
      </x:c>
      <x:c r="G185" s="10" t="str">
        <x:v>Create</x:v>
      </x:c>
      <x:c r="H185" s="10" t="str">
        <x:f>'Production assets'!F20</x:f>
        <x:v>Not started</x:v>
      </x:c>
      <x:c r="I185" s="10" t="str">
        <x:v>Editable SVG + 1200 x 1000 WebP</x:v>
      </x:c>
      <x:c r="J185" s="10" t="str">
        <x:v>Generic star on gradient</x:v>
      </x:c>
      <x:c r="K185" s="10" t="str">
        <x:v>/brand/calendly/assistant-hero.svg + star glyph</x:v>
      </x:c>
      <x:c r="L185" s="10" t="str">
        <x:v>227 x 189</x:v>
      </x:c>
      <x:c r="M185" s="10" t="str">
        <x:v>Ice blue, white, teal, deep green</x:v>
      </x:c>
      <x:c r="N185" s="10" t="str">
        <x:v>Create once and reuse across related-product cards and the Platform card rail. Keep the gradient separate.</x:v>
      </x:c>
      <x:c r="O185" s="10" t="str">
        <x:v>http://localhost:3000/platform/agentic-automation</x:v>
      </x:c>
    </x:row>
    <x:row r="186" ht="38" customHeight="1">
      <x:c r="A186" s="5" t="str">
        <x:v>P11-20</x:v>
      </x:c>
      <x:c r="B186" s="5" t="str">
        <x:v>Agentic Automation</x:v>
      </x:c>
      <x:c r="C186" s="5" t="str">
        <x:v>Related product thumbnail</x:v>
      </x:c>
      <x:c r="D186" s="5" t="str">
        <x:v>Integrations</x:v>
      </x:c>
      <x:c r="E186" s="5" t="str">
        <x:v>A006</x:v>
      </x:c>
      <x:c r="F186" s="5" t="str">
        <x:v>A central Innflow node connected to a small set of tool tiles.</x:v>
      </x:c>
      <x:c r="G186" s="5" t="str">
        <x:v>Create</x:v>
      </x:c>
      <x:c r="H186" s="5" t="str">
        <x:f>'Production assets'!F11</x:f>
        <x:v>Not started</x:v>
      </x:c>
      <x:c r="I186" s="5" t="str">
        <x:v>Editable SVG + 1200 x 1000 WebP</x:v>
      </x:c>
      <x:c r="J186" s="5" t="str">
        <x:v>Generic star on gradient</x:v>
      </x:c>
      <x:c r="K186" s="5" t="str">
        <x:v>/brand/calendly/scheduling-hero.svg + star glyph</x:v>
      </x:c>
      <x:c r="L186" s="5" t="str">
        <x:v>227 x 189</x:v>
      </x:c>
      <x:c r="M186" s="5" t="str">
        <x:v>Sky blue, pale aqua, navy</x:v>
      </x:c>
      <x:c r="N186" s="5" t="str">
        <x:v>Create once and reuse across related-product cards and the Platform card rail. Keep the gradient separate.</x:v>
      </x:c>
      <x:c r="O186" s="5" t="str">
        <x:v>http://localhost:3000/platform/agentic-automation</x:v>
      </x:c>
    </x:row>
    <x:row r="187" ht="38" customHeight="1">
      <x:c r="A187" s="10" t="str">
        <x:v>P11-21</x:v>
      </x:c>
      <x:c r="B187" s="10" t="str">
        <x:v>Agentic Automation</x:v>
      </x:c>
      <x:c r="C187" s="10" t="str">
        <x:v>Related product thumbnail</x:v>
      </x:c>
      <x:c r="D187" s="10" t="str">
        <x:v>Agentic Workflows</x:v>
      </x:c>
      <x:c r="E187" s="10" t="str">
        <x:v>A010</x:v>
      </x:c>
      <x:c r="F187" s="10" t="str">
        <x:v>A compact workflow canvas with trigger, branch and action nodes.</x:v>
      </x:c>
      <x:c r="G187" s="10" t="str">
        <x:v>Create</x:v>
      </x:c>
      <x:c r="H187" s="10" t="str">
        <x:f>'Production assets'!F15</x:f>
        <x:v>Not started</x:v>
      </x:c>
      <x:c r="I187" s="10" t="str">
        <x:v>Editable SVG + 1200 x 1000 WebP</x:v>
      </x:c>
      <x:c r="J187" s="10" t="str">
        <x:v>Generic star on gradient</x:v>
      </x:c>
      <x:c r="K187" s="10" t="str">
        <x:v>/brand/calendly/notetaker-hero.svg + star glyph</x:v>
      </x:c>
      <x:c r="L187" s="10" t="str">
        <x:v>227 x 189</x:v>
      </x:c>
      <x:c r="M187" s="10" t="str">
        <x:v>Navy, blue, blush, lavender</x:v>
      </x:c>
      <x:c r="N187" s="10" t="str">
        <x:v>Create once and reuse across related-product cards and the Platform card rail. Keep the gradient separate.</x:v>
      </x:c>
      <x:c r="O187" s="10" t="str">
        <x:v>http://localhost:3000/platform/agentic-automation</x:v>
      </x:c>
    </x:row>
    <x:row r="188" ht="38" customHeight="1">
      <x:c r="A188" s="5" t="str">
        <x:v>P11-22</x:v>
      </x:c>
      <x:c r="B188" s="5" t="str">
        <x:v>Agentic Automation</x:v>
      </x:c>
      <x:c r="C188" s="5" t="str">
        <x:v>Related product thumbnail</x:v>
      </x:c>
      <x:c r="D188" s="5" t="str">
        <x:v>Agent OS</x:v>
      </x:c>
      <x:c r="E188" s="5" t="str">
        <x:v>A011</x:v>
      </x:c>
      <x:c r="F188" s="5" t="str">
        <x:v>A small orchestration graph connecting agents and shared memory.</x:v>
      </x:c>
      <x:c r="G188" s="5" t="str">
        <x:v>Create</x:v>
      </x:c>
      <x:c r="H188" s="5" t="str">
        <x:f>'Production assets'!F16</x:f>
        <x:v>Not started</x:v>
      </x:c>
      <x:c r="I188" s="5" t="str">
        <x:v>Editable SVG + 1200 x 1000 WebP</x:v>
      </x:c>
      <x:c r="J188" s="5" t="str">
        <x:v>Generic star on gradient</x:v>
      </x:c>
      <x:c r="K188" s="5" t="str">
        <x:v>/brand/calendly/contacts-hero.svg + star glyph</x:v>
      </x:c>
      <x:c r="L188" s="5" t="str">
        <x:v>227 x 189</x:v>
      </x:c>
      <x:c r="M188" s="5" t="str">
        <x:v>Cream, peach, pink, blue</x:v>
      </x:c>
      <x:c r="N188" s="5" t="str">
        <x:v>Create once and reuse across related-product cards and the Platform card rail. Keep the gradient separate.</x:v>
      </x:c>
      <x:c r="O188" s="5" t="str">
        <x:v>http://localhost:3000/platform/agentic-automation</x:v>
      </x:c>
    </x:row>
    <x:row r="189" ht="38" customHeight="1">
      <x:c r="A189" s="10" t="str">
        <x:v>P11-23</x:v>
      </x:c>
      <x:c r="B189" s="10" t="str">
        <x:v>Agentic Automation</x:v>
      </x:c>
      <x:c r="C189" s="10" t="str">
        <x:v>Related product thumbnail</x:v>
      </x:c>
      <x:c r="D189" s="10" t="str">
        <x:v>AI Agents</x:v>
      </x:c>
      <x:c r="E189" s="10" t="str">
        <x:v>A012</x:v>
      </x:c>
      <x:c r="F189" s="10" t="str">
        <x:v>An agent task card with linked evidence and a proposed next action.</x:v>
      </x:c>
      <x:c r="G189" s="10" t="str">
        <x:v>Create</x:v>
      </x:c>
      <x:c r="H189" s="10" t="str">
        <x:f>'Production assets'!F17</x:f>
        <x:v>Not started</x:v>
      </x:c>
      <x:c r="I189" s="10" t="str">
        <x:v>Editable SVG + 1200 x 1000 WebP</x:v>
      </x:c>
      <x:c r="J189" s="10" t="str">
        <x:v>Generic star on gradient</x:v>
      </x:c>
      <x:c r="K189" s="10" t="str">
        <x:v>/brand/calendly/payments-hero.svg + star glyph</x:v>
      </x:c>
      <x:c r="L189" s="10" t="str">
        <x:v>227 x 189</x:v>
      </x:c>
      <x:c r="M189" s="10" t="str">
        <x:v>Pale mint, aqua, blue, navy</x:v>
      </x:c>
      <x:c r="N189" s="10" t="str">
        <x:v>Create once and reuse across related-product cards and the Platform card rail. Keep the gradient separate.</x:v>
      </x:c>
      <x:c r="O189" s="10" t="str">
        <x:v>http://localhost:3000/platform/agentic-automation</x:v>
      </x:c>
    </x:row>
    <x:row r="190" ht="38" customHeight="1">
      <x:c r="A190" s="5" t="str">
        <x:v>P12-01</x:v>
      </x:c>
      <x:c r="B190" s="5" t="str">
        <x:v>Self Learning</x:v>
      </x:c>
      <x:c r="C190" s="5" t="str">
        <x:v>Hero background</x:v>
      </x:c>
      <x:c r="D190" s="5" t="str">
        <x:v>Turn everyday feedback into better workflows.</x:v>
      </x:c>
      <x:c r="E190" s="5" t="str">
        <x:v>A014</x:v>
      </x:c>
      <x:c r="F190" s="5" t="str">
        <x:v>Reuse the existing Paper SVG as a separate background layer. No new background required.</x:v>
      </x:c>
      <x:c r="G190" s="5" t="str">
        <x:v>Reuse</x:v>
      </x:c>
      <x:c r="H190" s="5" t="str">
        <x:f>'Production assets'!F19</x:f>
        <x:v>Existing</x:v>
      </x:c>
      <x:c r="I190" s="5" t="str">
        <x:v>Existing scalable SVG</x:v>
      </x:c>
      <x:c r="J190" s="5" t="str">
        <x:v>Existing background</x:v>
      </x:c>
      <x:c r="K190" s="5" t="str">
        <x:v>/brand/calendly/scheduling-hero.svg</x:v>
      </x:c>
      <x:c r="L190" s="5" t="str">
        <x:v>1387 x 776</x:v>
      </x:c>
      <x:c r="M190" s="5" t="str">
        <x:v>Sky blue, pale aqua, navy</x:v>
      </x:c>
      <x:c r="N190" s="5" t="str">
        <x:v>Shared by every page using this style.</x:v>
      </x:c>
      <x:c r="O190" s="5" t="str">
        <x:v>http://localhost:3000/platform/self-learning</x:v>
      </x:c>
    </x:row>
    <x:row r="191" ht="51" customHeight="1">
      <x:c r="A191" s="10" t="str">
        <x:v>P12-02</x:v>
      </x:c>
      <x:c r="B191" s="10" t="str">
        <x:v>Self Learning</x:v>
      </x:c>
      <x:c r="C191" s="10" t="str">
        <x:v>Capability overview</x:v>
      </x:c>
      <x:c r="D191" s="10" t="str">
        <x:v>Learning workspace</x:v>
      </x:c>
      <x:c r="E191" s="10" t="str">
        <x:v>A082</x:v>
      </x:c>
      <x:c r="F191" s="10" t="str">
        <x:v>An improvement dashboard grouping flagged runs and review opportunities by workflow.</x:v>
      </x:c>
      <x:c r="G191" s="10" t="str">
        <x:v>Rework</x:v>
      </x:c>
      <x:c r="H191" s="10" t="str">
        <x:f>'Production assets'!F87</x:f>
        <x:v>Not started</x:v>
      </x:c>
      <x:c r="I191" s="10" t="str">
        <x:v>Editable SVG/layers + 1200 x 1200 WebP</x:v>
      </x:c>
      <x:c r="J191" s="10" t="str">
        <x:v>Existing product image</x:v>
      </x:c>
      <x:c r="K191" s="10" t="str">
        <x:v>/brand/platform/self-learning/hub-innflow.png</x:v>
      </x:c>
      <x:c r="L191" s="10" t="str">
        <x:v>580 x 580</x:v>
      </x:c>
      <x:c r="M191" s="10" t="str">
        <x:v>Sky blue, pale aqua, navy</x:v>
      </x:c>
      <x:c r="N191" s="10" t="str">
        <x:v>Preserve the existing CSS gradient. Export foreground separately with transparent background. Keep key UI within the central 80%. Reuses the first feature detail artwork.</x:v>
      </x:c>
      <x:c r="O191" s="10" t="str">
        <x:v>http://localhost:3000/platform/self-learning#hub</x:v>
      </x:c>
    </x:row>
    <x:row r="192" ht="51" customHeight="1">
      <x:c r="A192" s="5" t="str">
        <x:v>P12-03</x:v>
      </x:c>
      <x:c r="B192" s="5" t="str">
        <x:v>Self Learning</x:v>
      </x:c>
      <x:c r="C192" s="5" t="str">
        <x:v>Feature card</x:v>
      </x:c>
      <x:c r="D192" s="5" t="str">
        <x:v>Know where to focus next.</x:v>
      </x:c>
      <x:c r="E192" s="5" t="str">
        <x:v>A082</x:v>
      </x:c>
      <x:c r="F192" s="5" t="str">
        <x:v>An improvement dashboard grouping flagged runs and review opportunities by workflow.</x:v>
      </x:c>
      <x:c r="G192" s="5" t="str">
        <x:v>Rework</x:v>
      </x:c>
      <x:c r="H192" s="5" t="str">
        <x:f>'Production assets'!F87</x:f>
        <x:v>Not started</x:v>
      </x:c>
      <x:c r="I192" s="5" t="str">
        <x:v>1200 x 1000 WebP crop of shared master</x:v>
      </x:c>
      <x:c r="J192" s="5" t="str">
        <x:v>Existing product image</x:v>
      </x:c>
      <x:c r="K192" s="5" t="str">
        <x:v>/brand/platform/self-learning/hub-innflow.png</x:v>
      </x:c>
      <x:c r="L192" s="5" t="str">
        <x:v>320 x 267</x:v>
      </x:c>
      <x:c r="M192" s="5" t="str">
        <x:v>Sky blue, pale aqua, navy</x:v>
      </x:c>
      <x:c r="N192" s="5" t="str">
        <x:v>Preserve the existing CSS gradient. Export foreground separately with transparent background. Keep key UI within the central 80%.</x:v>
      </x:c>
      <x:c r="O192" s="5" t="str">
        <x:v>http://localhost:3000/platform/self-learning#hub</x:v>
      </x:c>
    </x:row>
    <x:row r="193" ht="51" customHeight="1">
      <x:c r="A193" s="10" t="str">
        <x:v>P12-04</x:v>
      </x:c>
      <x:c r="B193" s="10" t="str">
        <x:v>Self Learning</x:v>
      </x:c>
      <x:c r="C193" s="10" t="str">
        <x:v>Feature card</x:v>
      </x:c>
      <x:c r="D193" s="10" t="str">
        <x:v>Follow a correction through to a better result.</x:v>
      </x:c>
      <x:c r="E193" s="10" t="str">
        <x:v>A083</x:v>
      </x:c>
      <x:c r="F193" s="10" t="str">
        <x:v>A correction progressing through proposed change, validation and accepted revision.</x:v>
      </x:c>
      <x:c r="G193" s="10" t="str">
        <x:v>Rework</x:v>
      </x:c>
      <x:c r="H193" s="10" t="str">
        <x:f>'Production assets'!F88</x:f>
        <x:v>Not started</x:v>
      </x:c>
      <x:c r="I193" s="10" t="str">
        <x:v>1200 x 1000 WebP crop of shared master</x:v>
      </x:c>
      <x:c r="J193" s="10" t="str">
        <x:v>Existing product image</x:v>
      </x:c>
      <x:c r="K193" s="10" t="str">
        <x:v>/brand/platform/self-learning/process.png</x:v>
      </x:c>
      <x:c r="L193" s="10" t="str">
        <x:v>320 x 267</x:v>
      </x:c>
      <x:c r="M193" s="10" t="str">
        <x:v>Sky blue, pale aqua, navy</x:v>
      </x:c>
      <x:c r="N193" s="10" t="str">
        <x:v>Preserve the existing CSS gradient. Export foreground separately with transparent background. Keep key UI within the central 80%.</x:v>
      </x:c>
      <x:c r="O193" s="10" t="str">
        <x:v>http://localhost:3000/platform/self-learning#process</x:v>
      </x:c>
    </x:row>
    <x:row r="194" ht="51" customHeight="1">
      <x:c r="A194" s="5" t="str">
        <x:v>P12-05</x:v>
      </x:c>
      <x:c r="B194" s="5" t="str">
        <x:v>Self Learning</x:v>
      </x:c>
      <x:c r="C194" s="5" t="str">
        <x:v>Feature card</x:v>
      </x:c>
      <x:c r="D194" s="5" t="str">
        <x:v>Bring your team's working knowledge into the process.</x:v>
      </x:c>
      <x:c r="E194" s="5" t="str">
        <x:v>A084</x:v>
      </x:c>
      <x:c r="F194" s="5" t="str">
        <x:v>A team knowledge library linked to the rules and examples an agent uses.</x:v>
      </x:c>
      <x:c r="G194" s="5" t="str">
        <x:v>Rework</x:v>
      </x:c>
      <x:c r="H194" s="5" t="str">
        <x:f>'Production assets'!F89</x:f>
        <x:v>Not started</x:v>
      </x:c>
      <x:c r="I194" s="5" t="str">
        <x:v>1200 x 1000 WebP crop of shared master</x:v>
      </x:c>
      <x:c r="J194" s="5" t="str">
        <x:v>Existing product image</x:v>
      </x:c>
      <x:c r="K194" s="5" t="str">
        <x:v>/brand/platform/self-learning/domain.png</x:v>
      </x:c>
      <x:c r="L194" s="5" t="str">
        <x:v>320 x 267</x:v>
      </x:c>
      <x:c r="M194" s="5" t="str">
        <x:v>Sky blue, pale aqua, navy</x:v>
      </x:c>
      <x:c r="N194" s="5" t="str">
        <x:v>Preserve the existing CSS gradient. Export foreground separately with transparent background. Keep key UI within the central 80%.</x:v>
      </x:c>
      <x:c r="O194" s="5" t="str">
        <x:v>http://localhost:3000/platform/self-learning#domain</x:v>
      </x:c>
    </x:row>
    <x:row r="195" ht="51" customHeight="1">
      <x:c r="A195" s="10" t="str">
        <x:v>P12-06</x:v>
      </x:c>
      <x:c r="B195" s="10" t="str">
        <x:v>Self Learning</x:v>
      </x:c>
      <x:c r="C195" s="10" t="str">
        <x:v>Feature card</x:v>
      </x:c>
      <x:c r="D195" s="10" t="str">
        <x:v>Revisit assumptions when results change.</x:v>
      </x:c>
      <x:c r="E195" s="10" t="str">
        <x:v>A085</x:v>
      </x:c>
      <x:c r="F195" s="10" t="str">
        <x:v>An incorrect field highlighted beside its corrected value and revised instruction.</x:v>
      </x:c>
      <x:c r="G195" s="10" t="str">
        <x:v>Rework</x:v>
      </x:c>
      <x:c r="H195" s="10" t="str">
        <x:f>'Production assets'!F90</x:f>
        <x:v>Not started</x:v>
      </x:c>
      <x:c r="I195" s="10" t="str">
        <x:v>1200 x 1000 WebP crop of shared master</x:v>
      </x:c>
      <x:c r="J195" s="10" t="str">
        <x:v>Existing product image</x:v>
      </x:c>
      <x:c r="K195" s="10" t="str">
        <x:v>/brand/platform/self-learning/correction.png</x:v>
      </x:c>
      <x:c r="L195" s="10" t="str">
        <x:v>320 x 267</x:v>
      </x:c>
      <x:c r="M195" s="10" t="str">
        <x:v>Sky blue, pale aqua, navy</x:v>
      </x:c>
      <x:c r="N195" s="10" t="str">
        <x:v>Preserve the existing CSS gradient. Export foreground separately with transparent background. Keep key UI within the central 80%.</x:v>
      </x:c>
      <x:c r="O195" s="10" t="str">
        <x:v>http://localhost:3000/platform/self-learning#correction</x:v>
      </x:c>
    </x:row>
    <x:row r="196" ht="51" customHeight="1">
      <x:c r="A196" s="5" t="str">
        <x:v>P12-07</x:v>
      </x:c>
      <x:c r="B196" s="5" t="str">
        <x:v>Self Learning</x:v>
      </x:c>
      <x:c r="C196" s="5" t="str">
        <x:v>Feature card</x:v>
      </x:c>
      <x:c r="D196" s="5" t="str">
        <x:v>Make a useful correction easy to capture.</x:v>
      </x:c>
      <x:c r="E196" s="5" t="str">
        <x:v>A086</x:v>
      </x:c>
      <x:c r="F196" s="5" t="str">
        <x:v>A reviewer annotating an output with a concise correction and supporting example.</x:v>
      </x:c>
      <x:c r="G196" s="5" t="str">
        <x:v>Rework</x:v>
      </x:c>
      <x:c r="H196" s="5" t="str">
        <x:f>'Production assets'!F91</x:f>
        <x:v>Not started</x:v>
      </x:c>
      <x:c r="I196" s="5" t="str">
        <x:v>1200 x 1000 WebP crop of shared master</x:v>
      </x:c>
      <x:c r="J196" s="5" t="str">
        <x:v>Existing product image</x:v>
      </x:c>
      <x:c r="K196" s="5" t="str">
        <x:v>/brand/platform/self-learning/feedback.png</x:v>
      </x:c>
      <x:c r="L196" s="5" t="str">
        <x:v>320 x 267</x:v>
      </x:c>
      <x:c r="M196" s="5" t="str">
        <x:v>Sky blue, pale aqua, navy</x:v>
      </x:c>
      <x:c r="N196" s="5" t="str">
        <x:v>Preserve the existing CSS gradient. Export foreground separately with transparent background. Keep key UI within the central 80%.</x:v>
      </x:c>
      <x:c r="O196" s="5" t="str">
        <x:v>http://localhost:3000/platform/self-learning#feedback</x:v>
      </x:c>
    </x:row>
    <x:row r="197" ht="51" customHeight="1">
      <x:c r="A197" s="10" t="str">
        <x:v>P12-08</x:v>
      </x:c>
      <x:c r="B197" s="10" t="str">
        <x:v>Self Learning</x:v>
      </x:c>
      <x:c r="C197" s="10" t="str">
        <x:v>Feature card</x:v>
      </x:c>
      <x:c r="D197" s="10" t="str">
        <x:v>Check the change before relying on it.</x:v>
      </x:c>
      <x:c r="E197" s="10" t="str">
        <x:v>A087</x:v>
      </x:c>
      <x:c r="F197" s="10" t="str">
        <x:v>A before-and-after test comparison with expected outputs and a review gate.</x:v>
      </x:c>
      <x:c r="G197" s="10" t="str">
        <x:v>Rework</x:v>
      </x:c>
      <x:c r="H197" s="10" t="str">
        <x:f>'Production assets'!F92</x:f>
        <x:v>Not started</x:v>
      </x:c>
      <x:c r="I197" s="10" t="str">
        <x:v>1200 x 1000 WebP crop of shared master</x:v>
      </x:c>
      <x:c r="J197" s="10" t="str">
        <x:v>Existing product image</x:v>
      </x:c>
      <x:c r="K197" s="10" t="str">
        <x:v>/brand/platform/self-learning/validation.png</x:v>
      </x:c>
      <x:c r="L197" s="10" t="str">
        <x:v>320 x 267</x:v>
      </x:c>
      <x:c r="M197" s="10" t="str">
        <x:v>Sky blue, pale aqua, navy</x:v>
      </x:c>
      <x:c r="N197" s="10" t="str">
        <x:v>Preserve the existing CSS gradient. Export foreground separately with transparent background. Keep key UI within the central 80%.</x:v>
      </x:c>
      <x:c r="O197" s="10" t="str">
        <x:v>http://localhost:3000/platform/self-learning#validation</x:v>
      </x:c>
    </x:row>
    <x:row r="198" ht="51" customHeight="1">
      <x:c r="A198" s="5" t="str">
        <x:v>P12-09</x:v>
      </x:c>
      <x:c r="B198" s="5" t="str">
        <x:v>Self Learning</x:v>
      </x:c>
      <x:c r="C198" s="5" t="str">
        <x:v>Feature card</x:v>
      </x:c>
      <x:c r="D198" s="5" t="str">
        <x:v>Look for progress across real work.</x:v>
      </x:c>
      <x:c r="E198" s="5" t="str">
        <x:v>A088</x:v>
      </x:c>
      <x:c r="F198" s="5" t="str">
        <x:v>A trend panel comparing reviewed outcomes across successive workflow versions.</x:v>
      </x:c>
      <x:c r="G198" s="5" t="str">
        <x:v>Rework</x:v>
      </x:c>
      <x:c r="H198" s="5" t="str">
        <x:f>'Production assets'!F93</x:f>
        <x:v>Not started</x:v>
      </x:c>
      <x:c r="I198" s="5" t="str">
        <x:v>1200 x 1000 WebP crop of shared master</x:v>
      </x:c>
      <x:c r="J198" s="5" t="str">
        <x:v>Existing product image</x:v>
      </x:c>
      <x:c r="K198" s="5" t="str">
        <x:v>/brand/platform/self-learning/tracking.png</x:v>
      </x:c>
      <x:c r="L198" s="5" t="str">
        <x:v>320 x 267</x:v>
      </x:c>
      <x:c r="M198" s="5" t="str">
        <x:v>Sky blue, pale aqua, navy</x:v>
      </x:c>
      <x:c r="N198" s="5" t="str">
        <x:v>Preserve the existing CSS gradient. Export foreground separately with transparent background. Keep key UI within the central 80%.</x:v>
      </x:c>
      <x:c r="O198" s="5" t="str">
        <x:v>http://localhost:3000/platform/self-learning#tracking</x:v>
      </x:c>
    </x:row>
    <x:row r="199" ht="51" customHeight="1">
      <x:c r="A199" s="10" t="str">
        <x:v>P12-10</x:v>
      </x:c>
      <x:c r="B199" s="10" t="str">
        <x:v>Self Learning</x:v>
      </x:c>
      <x:c r="C199" s="10" t="str">
        <x:v>Feature card</x:v>
      </x:c>
      <x:c r="D199" s="10" t="str">
        <x:v>Build a review habit your team can sustain.</x:v>
      </x:c>
      <x:c r="E199" s="10" t="str">
        <x:v>A089</x:v>
      </x:c>
      <x:c r="F199" s="10" t="str">
        <x:v>A team review queue with owners, discussion and the next improvement action.</x:v>
      </x:c>
      <x:c r="G199" s="10" t="str">
        <x:v>Rework</x:v>
      </x:c>
      <x:c r="H199" s="10" t="str">
        <x:f>'Production assets'!F94</x:f>
        <x:v>Not started</x:v>
      </x:c>
      <x:c r="I199" s="10" t="str">
        <x:v>1200 x 1000 WebP crop of shared master</x:v>
      </x:c>
      <x:c r="J199" s="10" t="str">
        <x:v>Existing product image</x:v>
      </x:c>
      <x:c r="K199" s="10" t="str">
        <x:v>/brand/platform/self-learning/team.png</x:v>
      </x:c>
      <x:c r="L199" s="10" t="str">
        <x:v>320 x 267</x:v>
      </x:c>
      <x:c r="M199" s="10" t="str">
        <x:v>Sky blue, pale aqua, navy</x:v>
      </x:c>
      <x:c r="N199" s="10" t="str">
        <x:v>Preserve the existing CSS gradient. Export foreground separately with transparent background. Keep key UI within the central 80%.</x:v>
      </x:c>
      <x:c r="O199" s="10" t="str">
        <x:v>http://localhost:3000/platform/self-learning#team</x:v>
      </x:c>
    </x:row>
    <x:row r="200" ht="51" customHeight="1">
      <x:c r="A200" s="5" t="str">
        <x:v>P12-11</x:v>
      </x:c>
      <x:c r="B200" s="5" t="str">
        <x:v>Self Learning</x:v>
      </x:c>
      <x:c r="C200" s="5" t="str">
        <x:v>Feature detail</x:v>
      </x:c>
      <x:c r="D200" s="5" t="str">
        <x:v>Know where to focus next.</x:v>
      </x:c>
      <x:c r="E200" s="5" t="str">
        <x:v>A082</x:v>
      </x:c>
      <x:c r="F200" s="5" t="str">
        <x:v>An improvement dashboard grouping flagged runs and review opportunities by workflow.</x:v>
      </x:c>
      <x:c r="G200" s="5" t="str">
        <x:v>Rework</x:v>
      </x:c>
      <x:c r="H200" s="5" t="str">
        <x:f>'Production assets'!F87</x:f>
        <x:v>Not started</x:v>
      </x:c>
      <x:c r="I200" s="5" t="str">
        <x:v>Editable SVG/layers + 1200 x 1200 WebP</x:v>
      </x:c>
      <x:c r="J200" s="5" t="str">
        <x:v>Existing product image</x:v>
      </x:c>
      <x:c r="K200" s="5" t="str">
        <x:v>/brand/platform/self-learning/hub-innflow.png</x:v>
      </x:c>
      <x:c r="L200" s="5" t="str">
        <x:v>580 x 580</x:v>
      </x:c>
      <x:c r="M200" s="5" t="str">
        <x:v>Sky blue, pale aqua, navy</x:v>
      </x:c>
      <x:c r="N200" s="5" t="str">
        <x:v>Preserve the existing CSS gradient. Export foreground separately with transparent background. Keep key UI within the central 80%.</x:v>
      </x:c>
      <x:c r="O200" s="5" t="str">
        <x:v>http://localhost:3000/platform/self-learning#hub</x:v>
      </x:c>
    </x:row>
    <x:row r="201" ht="51" customHeight="1">
      <x:c r="A201" s="10" t="str">
        <x:v>P12-12</x:v>
      </x:c>
      <x:c r="B201" s="10" t="str">
        <x:v>Self Learning</x:v>
      </x:c>
      <x:c r="C201" s="10" t="str">
        <x:v>Feature detail</x:v>
      </x:c>
      <x:c r="D201" s="10" t="str">
        <x:v>Follow a correction through to a better result.</x:v>
      </x:c>
      <x:c r="E201" s="10" t="str">
        <x:v>A083</x:v>
      </x:c>
      <x:c r="F201" s="10" t="str">
        <x:v>A correction progressing through proposed change, validation and accepted revision.</x:v>
      </x:c>
      <x:c r="G201" s="10" t="str">
        <x:v>Rework</x:v>
      </x:c>
      <x:c r="H201" s="10" t="str">
        <x:f>'Production assets'!F88</x:f>
        <x:v>Not started</x:v>
      </x:c>
      <x:c r="I201" s="10" t="str">
        <x:v>Editable SVG/layers + 1200 x 1200 WebP</x:v>
      </x:c>
      <x:c r="J201" s="10" t="str">
        <x:v>Existing product image</x:v>
      </x:c>
      <x:c r="K201" s="10" t="str">
        <x:v>/brand/platform/self-learning/process.png</x:v>
      </x:c>
      <x:c r="L201" s="10" t="str">
        <x:v>532 x 532</x:v>
      </x:c>
      <x:c r="M201" s="10" t="str">
        <x:v>Sky blue, pale aqua, navy</x:v>
      </x:c>
      <x:c r="N201" s="10" t="str">
        <x:v>Preserve the existing CSS gradient. Export foreground separately with transparent background. Keep key UI within the central 80%.</x:v>
      </x:c>
      <x:c r="O201" s="10" t="str">
        <x:v>http://localhost:3000/platform/self-learning#process</x:v>
      </x:c>
    </x:row>
    <x:row r="202" ht="51" customHeight="1">
      <x:c r="A202" s="5" t="str">
        <x:v>P12-13</x:v>
      </x:c>
      <x:c r="B202" s="5" t="str">
        <x:v>Self Learning</x:v>
      </x:c>
      <x:c r="C202" s="5" t="str">
        <x:v>Feature detail</x:v>
      </x:c>
      <x:c r="D202" s="5" t="str">
        <x:v>Bring your team's working knowledge into the process.</x:v>
      </x:c>
      <x:c r="E202" s="5" t="str">
        <x:v>A084</x:v>
      </x:c>
      <x:c r="F202" s="5" t="str">
        <x:v>A team knowledge library linked to the rules and examples an agent uses.</x:v>
      </x:c>
      <x:c r="G202" s="5" t="str">
        <x:v>Rework</x:v>
      </x:c>
      <x:c r="H202" s="5" t="str">
        <x:f>'Production assets'!F89</x:f>
        <x:v>Not started</x:v>
      </x:c>
      <x:c r="I202" s="5" t="str">
        <x:v>Editable SVG/layers + 1200 x 1200 WebP</x:v>
      </x:c>
      <x:c r="J202" s="5" t="str">
        <x:v>Existing product image</x:v>
      </x:c>
      <x:c r="K202" s="5" t="str">
        <x:v>/brand/platform/self-learning/domain.png</x:v>
      </x:c>
      <x:c r="L202" s="5" t="str">
        <x:v>580 x 580</x:v>
      </x:c>
      <x:c r="M202" s="5" t="str">
        <x:v>Sky blue, pale aqua, navy</x:v>
      </x:c>
      <x:c r="N202" s="5" t="str">
        <x:v>Preserve the existing CSS gradient. Export foreground separately with transparent background. Keep key UI within the central 80%.</x:v>
      </x:c>
      <x:c r="O202" s="5" t="str">
        <x:v>http://localhost:3000/platform/self-learning#domain</x:v>
      </x:c>
    </x:row>
    <x:row r="203" ht="51" customHeight="1">
      <x:c r="A203" s="10" t="str">
        <x:v>P12-14</x:v>
      </x:c>
      <x:c r="B203" s="10" t="str">
        <x:v>Self Learning</x:v>
      </x:c>
      <x:c r="C203" s="10" t="str">
        <x:v>Feature detail</x:v>
      </x:c>
      <x:c r="D203" s="10" t="str">
        <x:v>Revisit assumptions when results change.</x:v>
      </x:c>
      <x:c r="E203" s="10" t="str">
        <x:v>A085</x:v>
      </x:c>
      <x:c r="F203" s="10" t="str">
        <x:v>An incorrect field highlighted beside its corrected value and revised instruction.</x:v>
      </x:c>
      <x:c r="G203" s="10" t="str">
        <x:v>Rework</x:v>
      </x:c>
      <x:c r="H203" s="10" t="str">
        <x:f>'Production assets'!F90</x:f>
        <x:v>Not started</x:v>
      </x:c>
      <x:c r="I203" s="10" t="str">
        <x:v>Editable SVG/layers + 1200 x 1200 WebP</x:v>
      </x:c>
      <x:c r="J203" s="10" t="str">
        <x:v>Existing product image</x:v>
      </x:c>
      <x:c r="K203" s="10" t="str">
        <x:v>/brand/platform/self-learning/correction.png</x:v>
      </x:c>
      <x:c r="L203" s="10" t="str">
        <x:v>532 x 532</x:v>
      </x:c>
      <x:c r="M203" s="10" t="str">
        <x:v>Sky blue, pale aqua, navy</x:v>
      </x:c>
      <x:c r="N203" s="10" t="str">
        <x:v>Preserve the existing CSS gradient. Export foreground separately with transparent background. Keep key UI within the central 80%.</x:v>
      </x:c>
      <x:c r="O203" s="10" t="str">
        <x:v>http://localhost:3000/platform/self-learning#correction</x:v>
      </x:c>
    </x:row>
    <x:row r="204" ht="51" customHeight="1">
      <x:c r="A204" s="5" t="str">
        <x:v>P12-15</x:v>
      </x:c>
      <x:c r="B204" s="5" t="str">
        <x:v>Self Learning</x:v>
      </x:c>
      <x:c r="C204" s="5" t="str">
        <x:v>Feature detail</x:v>
      </x:c>
      <x:c r="D204" s="5" t="str">
        <x:v>Make a useful correction easy to capture.</x:v>
      </x:c>
      <x:c r="E204" s="5" t="str">
        <x:v>A086</x:v>
      </x:c>
      <x:c r="F204" s="5" t="str">
        <x:v>A reviewer annotating an output with a concise correction and supporting example.</x:v>
      </x:c>
      <x:c r="G204" s="5" t="str">
        <x:v>Rework</x:v>
      </x:c>
      <x:c r="H204" s="5" t="str">
        <x:f>'Production assets'!F91</x:f>
        <x:v>Not started</x:v>
      </x:c>
      <x:c r="I204" s="5" t="str">
        <x:v>Editable SVG/layers + 1200 x 1200 WebP</x:v>
      </x:c>
      <x:c r="J204" s="5" t="str">
        <x:v>Existing product image</x:v>
      </x:c>
      <x:c r="K204" s="5" t="str">
        <x:v>/brand/platform/self-learning/feedback.png</x:v>
      </x:c>
      <x:c r="L204" s="5" t="str">
        <x:v>580 x 580</x:v>
      </x:c>
      <x:c r="M204" s="5" t="str">
        <x:v>Sky blue, pale aqua, navy</x:v>
      </x:c>
      <x:c r="N204" s="5" t="str">
        <x:v>Preserve the existing CSS gradient. Export foreground separately with transparent background. Keep key UI within the central 80%.</x:v>
      </x:c>
      <x:c r="O204" s="5" t="str">
        <x:v>http://localhost:3000/platform/self-learning#feedback</x:v>
      </x:c>
    </x:row>
    <x:row r="205" ht="51" customHeight="1">
      <x:c r="A205" s="10" t="str">
        <x:v>P12-16</x:v>
      </x:c>
      <x:c r="B205" s="10" t="str">
        <x:v>Self Learning</x:v>
      </x:c>
      <x:c r="C205" s="10" t="str">
        <x:v>Feature detail</x:v>
      </x:c>
      <x:c r="D205" s="10" t="str">
        <x:v>Check the change before relying on it.</x:v>
      </x:c>
      <x:c r="E205" s="10" t="str">
        <x:v>A087</x:v>
      </x:c>
      <x:c r="F205" s="10" t="str">
        <x:v>A before-and-after test comparison with expected outputs and a review gate.</x:v>
      </x:c>
      <x:c r="G205" s="10" t="str">
        <x:v>Rework</x:v>
      </x:c>
      <x:c r="H205" s="10" t="str">
        <x:f>'Production assets'!F92</x:f>
        <x:v>Not started</x:v>
      </x:c>
      <x:c r="I205" s="10" t="str">
        <x:v>Editable SVG/layers + 1200 x 1200 WebP</x:v>
      </x:c>
      <x:c r="J205" s="10" t="str">
        <x:v>Existing product image</x:v>
      </x:c>
      <x:c r="K205" s="10" t="str">
        <x:v>/brand/platform/self-learning/validation.png</x:v>
      </x:c>
      <x:c r="L205" s="10" t="str">
        <x:v>532 x 532</x:v>
      </x:c>
      <x:c r="M205" s="10" t="str">
        <x:v>Sky blue, pale aqua, navy</x:v>
      </x:c>
      <x:c r="N205" s="10" t="str">
        <x:v>Preserve the existing CSS gradient. Export foreground separately with transparent background. Keep key UI within the central 80%.</x:v>
      </x:c>
      <x:c r="O205" s="10" t="str">
        <x:v>http://localhost:3000/platform/self-learning#validation</x:v>
      </x:c>
    </x:row>
    <x:row r="206" ht="51" customHeight="1">
      <x:c r="A206" s="5" t="str">
        <x:v>P12-17</x:v>
      </x:c>
      <x:c r="B206" s="5" t="str">
        <x:v>Self Learning</x:v>
      </x:c>
      <x:c r="C206" s="5" t="str">
        <x:v>Feature detail</x:v>
      </x:c>
      <x:c r="D206" s="5" t="str">
        <x:v>Look for progress across real work.</x:v>
      </x:c>
      <x:c r="E206" s="5" t="str">
        <x:v>A088</x:v>
      </x:c>
      <x:c r="F206" s="5" t="str">
        <x:v>A trend panel comparing reviewed outcomes across successive workflow versions.</x:v>
      </x:c>
      <x:c r="G206" s="5" t="str">
        <x:v>Rework</x:v>
      </x:c>
      <x:c r="H206" s="5" t="str">
        <x:f>'Production assets'!F93</x:f>
        <x:v>Not started</x:v>
      </x:c>
      <x:c r="I206" s="5" t="str">
        <x:v>Editable SVG/layers + 1200 x 1200 WebP</x:v>
      </x:c>
      <x:c r="J206" s="5" t="str">
        <x:v>Existing product image</x:v>
      </x:c>
      <x:c r="K206" s="5" t="str">
        <x:v>/brand/platform/self-learning/tracking.png</x:v>
      </x:c>
      <x:c r="L206" s="5" t="str">
        <x:v>580 x 580</x:v>
      </x:c>
      <x:c r="M206" s="5" t="str">
        <x:v>Sky blue, pale aqua, navy</x:v>
      </x:c>
      <x:c r="N206" s="5" t="str">
        <x:v>Preserve the existing CSS gradient. Export foreground separately with transparent background. Keep key UI within the central 80%.</x:v>
      </x:c>
      <x:c r="O206" s="5" t="str">
        <x:v>http://localhost:3000/platform/self-learning#tracking</x:v>
      </x:c>
    </x:row>
    <x:row r="207" ht="51" customHeight="1">
      <x:c r="A207" s="10" t="str">
        <x:v>P12-18</x:v>
      </x:c>
      <x:c r="B207" s="10" t="str">
        <x:v>Self Learning</x:v>
      </x:c>
      <x:c r="C207" s="10" t="str">
        <x:v>Feature detail</x:v>
      </x:c>
      <x:c r="D207" s="10" t="str">
        <x:v>Build a review habit your team can sustain.</x:v>
      </x:c>
      <x:c r="E207" s="10" t="str">
        <x:v>A089</x:v>
      </x:c>
      <x:c r="F207" s="10" t="str">
        <x:v>A team review queue with owners, discussion and the next improvement action.</x:v>
      </x:c>
      <x:c r="G207" s="10" t="str">
        <x:v>Rework</x:v>
      </x:c>
      <x:c r="H207" s="10" t="str">
        <x:f>'Production assets'!F94</x:f>
        <x:v>Not started</x:v>
      </x:c>
      <x:c r="I207" s="10" t="str">
        <x:v>Editable SVG/layers + 1200 x 1200 WebP</x:v>
      </x:c>
      <x:c r="J207" s="10" t="str">
        <x:v>Existing product image</x:v>
      </x:c>
      <x:c r="K207" s="10" t="str">
        <x:v>/brand/platform/self-learning/team.png</x:v>
      </x:c>
      <x:c r="L207" s="10" t="str">
        <x:v>532 x 532</x:v>
      </x:c>
      <x:c r="M207" s="10" t="str">
        <x:v>Sky blue, pale aqua, navy</x:v>
      </x:c>
      <x:c r="N207" s="10" t="str">
        <x:v>Preserve the existing CSS gradient. Export foreground separately with transparent background. Keep key UI within the central 80%.</x:v>
      </x:c>
      <x:c r="O207" s="10" t="str">
        <x:v>http://localhost:3000/platform/self-learning#team</x:v>
      </x:c>
    </x:row>
    <x:row r="208" ht="38" customHeight="1">
      <x:c r="A208" s="5" t="str">
        <x:v>P12-19</x:v>
      </x:c>
      <x:c r="B208" s="5" t="str">
        <x:v>Self Learning</x:v>
      </x:c>
      <x:c r="C208" s="5" t="str">
        <x:v>Related product thumbnail</x:v>
      </x:c>
      <x:c r="D208" s="5" t="str">
        <x:v>Platform</x:v>
      </x:c>
      <x:c r="E208" s="5" t="str">
        <x:v>A015</x:v>
      </x:c>
      <x:c r="F208" s="5" t="str">
        <x:v>A compact workspace overview linking agents, tools and shared knowledge.</x:v>
      </x:c>
      <x:c r="G208" s="5" t="str">
        <x:v>Create</x:v>
      </x:c>
      <x:c r="H208" s="5" t="str">
        <x:f>'Production assets'!F20</x:f>
        <x:v>Not started</x:v>
      </x:c>
      <x:c r="I208" s="5" t="str">
        <x:v>Editable SVG + 1200 x 1000 WebP</x:v>
      </x:c>
      <x:c r="J208" s="5" t="str">
        <x:v>Generic star on gradient</x:v>
      </x:c>
      <x:c r="K208" s="5" t="str">
        <x:v>/brand/calendly/assistant-hero.svg + star glyph</x:v>
      </x:c>
      <x:c r="L208" s="5" t="str">
        <x:v>227 x 189</x:v>
      </x:c>
      <x:c r="M208" s="5" t="str">
        <x:v>Ice blue, white, teal, deep green</x:v>
      </x:c>
      <x:c r="N208" s="5" t="str">
        <x:v>Create once and reuse across related-product cards and the Platform card rail. Keep the gradient separate.</x:v>
      </x:c>
      <x:c r="O208" s="5" t="str">
        <x:v>http://localhost:3000/platform/self-learning</x:v>
      </x:c>
    </x:row>
    <x:row r="209" ht="38" customHeight="1">
      <x:c r="A209" s="10" t="str">
        <x:v>P12-20</x:v>
      </x:c>
      <x:c r="B209" s="10" t="str">
        <x:v>Self Learning</x:v>
      </x:c>
      <x:c r="C209" s="10" t="str">
        <x:v>Related product thumbnail</x:v>
      </x:c>
      <x:c r="D209" s="10" t="str">
        <x:v>Integrations</x:v>
      </x:c>
      <x:c r="E209" s="10" t="str">
        <x:v>A006</x:v>
      </x:c>
      <x:c r="F209" s="10" t="str">
        <x:v>A central Innflow node connected to a small set of tool tiles.</x:v>
      </x:c>
      <x:c r="G209" s="10" t="str">
        <x:v>Create</x:v>
      </x:c>
      <x:c r="H209" s="10" t="str">
        <x:f>'Production assets'!F11</x:f>
        <x:v>Not started</x:v>
      </x:c>
      <x:c r="I209" s="10" t="str">
        <x:v>Editable SVG + 1200 x 1000 WebP</x:v>
      </x:c>
      <x:c r="J209" s="10" t="str">
        <x:v>Generic star on gradient</x:v>
      </x:c>
      <x:c r="K209" s="10" t="str">
        <x:v>/brand/calendly/scheduling-hero.svg + star glyph</x:v>
      </x:c>
      <x:c r="L209" s="10" t="str">
        <x:v>227 x 189</x:v>
      </x:c>
      <x:c r="M209" s="10" t="str">
        <x:v>Sky blue, pale aqua, navy</x:v>
      </x:c>
      <x:c r="N209" s="10" t="str">
        <x:v>Create once and reuse across related-product cards and the Platform card rail. Keep the gradient separate.</x:v>
      </x:c>
      <x:c r="O209" s="10" t="str">
        <x:v>http://localhost:3000/platform/self-learning</x:v>
      </x:c>
    </x:row>
    <x:row r="210" ht="38" customHeight="1">
      <x:c r="A210" s="5" t="str">
        <x:v>P12-21</x:v>
      </x:c>
      <x:c r="B210" s="5" t="str">
        <x:v>Self Learning</x:v>
      </x:c>
      <x:c r="C210" s="5" t="str">
        <x:v>Related product thumbnail</x:v>
      </x:c>
      <x:c r="D210" s="5" t="str">
        <x:v>Agentic Workflows</x:v>
      </x:c>
      <x:c r="E210" s="5" t="str">
        <x:v>A010</x:v>
      </x:c>
      <x:c r="F210" s="5" t="str">
        <x:v>A compact workflow canvas with trigger, branch and action nodes.</x:v>
      </x:c>
      <x:c r="G210" s="5" t="str">
        <x:v>Create</x:v>
      </x:c>
      <x:c r="H210" s="5" t="str">
        <x:f>'Production assets'!F15</x:f>
        <x:v>Not started</x:v>
      </x:c>
      <x:c r="I210" s="5" t="str">
        <x:v>Editable SVG + 1200 x 1000 WebP</x:v>
      </x:c>
      <x:c r="J210" s="5" t="str">
        <x:v>Generic star on gradient</x:v>
      </x:c>
      <x:c r="K210" s="5" t="str">
        <x:v>/brand/calendly/notetaker-hero.svg + star glyph</x:v>
      </x:c>
      <x:c r="L210" s="5" t="str">
        <x:v>227 x 189</x:v>
      </x:c>
      <x:c r="M210" s="5" t="str">
        <x:v>Navy, blue, blush, lavender</x:v>
      </x:c>
      <x:c r="N210" s="5" t="str">
        <x:v>Create once and reuse across related-product cards and the Platform card rail. Keep the gradient separate.</x:v>
      </x:c>
      <x:c r="O210" s="5" t="str">
        <x:v>http://localhost:3000/platform/self-learning</x:v>
      </x:c>
    </x:row>
    <x:row r="211" ht="38" customHeight="1">
      <x:c r="A211" s="10" t="str">
        <x:v>P12-22</x:v>
      </x:c>
      <x:c r="B211" s="10" t="str">
        <x:v>Self Learning</x:v>
      </x:c>
      <x:c r="C211" s="10" t="str">
        <x:v>Related product thumbnail</x:v>
      </x:c>
      <x:c r="D211" s="10" t="str">
        <x:v>Agent OS</x:v>
      </x:c>
      <x:c r="E211" s="10" t="str">
        <x:v>A011</x:v>
      </x:c>
      <x:c r="F211" s="10" t="str">
        <x:v>A small orchestration graph connecting agents and shared memory.</x:v>
      </x:c>
      <x:c r="G211" s="10" t="str">
        <x:v>Create</x:v>
      </x:c>
      <x:c r="H211" s="10" t="str">
        <x:f>'Production assets'!F16</x:f>
        <x:v>Not started</x:v>
      </x:c>
      <x:c r="I211" s="10" t="str">
        <x:v>Editable SVG + 1200 x 1000 WebP</x:v>
      </x:c>
      <x:c r="J211" s="10" t="str">
        <x:v>Generic star on gradient</x:v>
      </x:c>
      <x:c r="K211" s="10" t="str">
        <x:v>/brand/calendly/contacts-hero.svg + star glyph</x:v>
      </x:c>
      <x:c r="L211" s="10" t="str">
        <x:v>227 x 189</x:v>
      </x:c>
      <x:c r="M211" s="10" t="str">
        <x:v>Cream, peach, pink, blue</x:v>
      </x:c>
      <x:c r="N211" s="10" t="str">
        <x:v>Create once and reuse across related-product cards and the Platform card rail. Keep the gradient separate.</x:v>
      </x:c>
      <x:c r="O211" s="10" t="str">
        <x:v>http://localhost:3000/platform/self-learning</x:v>
      </x:c>
    </x:row>
    <x:row r="212" ht="38" customHeight="1">
      <x:c r="A212" s="5" t="str">
        <x:v>P12-23</x:v>
      </x:c>
      <x:c r="B212" s="5" t="str">
        <x:v>Self Learning</x:v>
      </x:c>
      <x:c r="C212" s="5" t="str">
        <x:v>Related product thumbnail</x:v>
      </x:c>
      <x:c r="D212" s="5" t="str">
        <x:v>AI Agents</x:v>
      </x:c>
      <x:c r="E212" s="5" t="str">
        <x:v>A012</x:v>
      </x:c>
      <x:c r="F212" s="5" t="str">
        <x:v>An agent task card with linked evidence and a proposed next action.</x:v>
      </x:c>
      <x:c r="G212" s="5" t="str">
        <x:v>Create</x:v>
      </x:c>
      <x:c r="H212" s="5" t="str">
        <x:f>'Production assets'!F17</x:f>
        <x:v>Not started</x:v>
      </x:c>
      <x:c r="I212" s="5" t="str">
        <x:v>Editable SVG + 1200 x 1000 WebP</x:v>
      </x:c>
      <x:c r="J212" s="5" t="str">
        <x:v>Generic star on gradient</x:v>
      </x:c>
      <x:c r="K212" s="5" t="str">
        <x:v>/brand/calendly/payments-hero.svg + star glyph</x:v>
      </x:c>
      <x:c r="L212" s="5" t="str">
        <x:v>227 x 189</x:v>
      </x:c>
      <x:c r="M212" s="5" t="str">
        <x:v>Pale mint, aqua, blue, navy</x:v>
      </x:c>
      <x:c r="N212" s="5" t="str">
        <x:v>Create once and reuse across related-product cards and the Platform card rail. Keep the gradient separate.</x:v>
      </x:c>
      <x:c r="O212" s="5" t="str">
        <x:v>http://localhost:3000/platform/self-learning</x:v>
      </x:c>
    </x:row>
    <x:row r="213" ht="38" customHeight="1">
      <x:c r="A213" s="10" t="str">
        <x:v>P13-01</x:v>
      </x:c>
      <x:c r="B213" s="10" t="str">
        <x:v>Evaluations</x:v>
      </x:c>
      <x:c r="C213" s="10" t="str">
        <x:v>Hero background</x:v>
      </x:c>
      <x:c r="D213" s="10" t="str">
        <x:v>Know how well your agents handle the work.</x:v>
      </x:c>
      <x:c r="E213" s="10" t="str">
        <x:v>A016</x:v>
      </x:c>
      <x:c r="F213" s="10" t="str">
        <x:v>Reuse the existing Paper SVG as a separate background layer. No new background required.</x:v>
      </x:c>
      <x:c r="G213" s="10" t="str">
        <x:v>Reuse</x:v>
      </x:c>
      <x:c r="H213" s="10" t="str">
        <x:f>'Production assets'!F21</x:f>
        <x:v>Existing</x:v>
      </x:c>
      <x:c r="I213" s="10" t="str">
        <x:v>Existing scalable SVG</x:v>
      </x:c>
      <x:c r="J213" s="10" t="str">
        <x:v>Existing background</x:v>
      </x:c>
      <x:c r="K213" s="10" t="str">
        <x:v>/brand/calendly/notetaker-hero.svg</x:v>
      </x:c>
      <x:c r="L213" s="10" t="str">
        <x:v>1387 x 776</x:v>
      </x:c>
      <x:c r="M213" s="10" t="str">
        <x:v>Navy, blue, blush, lavender</x:v>
      </x:c>
      <x:c r="N213" s="10" t="str">
        <x:v>Shared by every page using this style.</x:v>
      </x:c>
      <x:c r="O213" s="10" t="str">
        <x:v>http://localhost:3000/platform/evaluations</x:v>
      </x:c>
    </x:row>
    <x:row r="214" ht="51" customHeight="1">
      <x:c r="A214" s="5" t="str">
        <x:v>P13-02</x:v>
      </x:c>
      <x:c r="B214" s="5" t="str">
        <x:v>Evaluations</x:v>
      </x:c>
      <x:c r="C214" s="5" t="str">
        <x:v>Capability overview</x:v>
      </x:c>
      <x:c r="D214" s="5" t="str">
        <x:v>Three-layer accuracy</x:v>
      </x:c>
      <x:c r="E214" s="5" t="str">
        <x:v>A090</x:v>
      </x:c>
      <x:c r="F214" s="5" t="str">
        <x:v>An evaluation view drilling from task result to step result to one extracted field.</x:v>
      </x:c>
      <x:c r="G214" s="5" t="str">
        <x:v>Rework</x:v>
      </x:c>
      <x:c r="H214" s="5" t="str">
        <x:f>'Production assets'!F95</x:f>
        <x:v>Not started</x:v>
      </x:c>
      <x:c r="I214" s="5" t="str">
        <x:v>Editable SVG/layers + 1200 x 1200 WebP</x:v>
      </x:c>
      <x:c r="J214" s="5" t="str">
        <x:v>Existing product image</x:v>
      </x:c>
      <x:c r="K214" s="5" t="str">
        <x:v>/brand/platform/evaluations/accuracy.png</x:v>
      </x:c>
      <x:c r="L214" s="5" t="str">
        <x:v>580 x 580</x:v>
      </x:c>
      <x:c r="M214" s="5" t="str">
        <x:v>Navy, blue, blush, lavender</x:v>
      </x:c>
      <x:c r="N214" s="5" t="str">
        <x:v>Preserve the existing CSS gradient. Export foreground separately with transparent background. Keep key UI within the central 80%. Reuses the first feature detail artwork.</x:v>
      </x:c>
      <x:c r="O214" s="5" t="str">
        <x:v>http://localhost:3000/platform/evaluations#accuracy</x:v>
      </x:c>
    </x:row>
    <x:row r="215" ht="51" customHeight="1">
      <x:c r="A215" s="10" t="str">
        <x:v>P13-03</x:v>
      </x:c>
      <x:c r="B215" s="10" t="str">
        <x:v>Evaluations</x:v>
      </x:c>
      <x:c r="C215" s="10" t="str">
        <x:v>Feature card</x:v>
      </x:c>
      <x:c r="D215" s="10" t="str">
        <x:v>See where a result needs attention.</x:v>
      </x:c>
      <x:c r="E215" s="10" t="str">
        <x:v>A090</x:v>
      </x:c>
      <x:c r="F215" s="10" t="str">
        <x:v>An evaluation view drilling from task result to step result to one extracted field.</x:v>
      </x:c>
      <x:c r="G215" s="10" t="str">
        <x:v>Rework</x:v>
      </x:c>
      <x:c r="H215" s="10" t="str">
        <x:f>'Production assets'!F95</x:f>
        <x:v>Not started</x:v>
      </x:c>
      <x:c r="I215" s="10" t="str">
        <x:v>1200 x 1000 WebP crop of shared master</x:v>
      </x:c>
      <x:c r="J215" s="10" t="str">
        <x:v>Existing product image</x:v>
      </x:c>
      <x:c r="K215" s="10" t="str">
        <x:v>/brand/platform/evaluations/accuracy.png</x:v>
      </x:c>
      <x:c r="L215" s="10" t="str">
        <x:v>320 x 267</x:v>
      </x:c>
      <x:c r="M215" s="10" t="str">
        <x:v>Navy, blue, blush, lavender</x:v>
      </x:c>
      <x:c r="N215" s="10" t="str">
        <x:v>Preserve the existing CSS gradient. Export foreground separately with transparent background. Keep key UI within the central 80%.</x:v>
      </x:c>
      <x:c r="O215" s="10" t="str">
        <x:v>http://localhost:3000/platform/evaluations#accuracy</x:v>
      </x:c>
    </x:row>
    <x:row r="216" ht="51" customHeight="1">
      <x:c r="A216" s="5" t="str">
        <x:v>P13-04</x:v>
      </x:c>
      <x:c r="B216" s="5" t="str">
        <x:v>Evaluations</x:v>
      </x:c>
      <x:c r="C216" s="5" t="str">
        <x:v>Feature card</x:v>
      </x:c>
      <x:c r="D216" s="5" t="str">
        <x:v>Set a useful baseline.</x:v>
      </x:c>
      <x:c r="E216" s="5" t="str">
        <x:v>A091</x:v>
      </x:c>
      <x:c r="F216" s="5" t="str">
        <x:v>A human-reviewed reference answer compared side by side with an agent output.</x:v>
      </x:c>
      <x:c r="G216" s="5" t="str">
        <x:v>Rework</x:v>
      </x:c>
      <x:c r="H216" s="5" t="str">
        <x:f>'Production assets'!F96</x:f>
        <x:v>Not started</x:v>
      </x:c>
      <x:c r="I216" s="5" t="str">
        <x:v>1200 x 1000 WebP crop of shared master</x:v>
      </x:c>
      <x:c r="J216" s="5" t="str">
        <x:v>Existing product image</x:v>
      </x:c>
      <x:c r="K216" s="5" t="str">
        <x:v>/brand/platform/evaluations/benchmarks.png</x:v>
      </x:c>
      <x:c r="L216" s="5" t="str">
        <x:v>320 x 267</x:v>
      </x:c>
      <x:c r="M216" s="5" t="str">
        <x:v>Navy, blue, blush, lavender</x:v>
      </x:c>
      <x:c r="N216" s="5" t="str">
        <x:v>Preserve the existing CSS gradient. Export foreground separately with transparent background. Keep key UI within the central 80%.</x:v>
      </x:c>
      <x:c r="O216" s="5" t="str">
        <x:v>http://localhost:3000/platform/evaluations#benchmarks</x:v>
      </x:c>
    </x:row>
    <x:row r="217" ht="51" customHeight="1">
      <x:c r="A217" s="10" t="str">
        <x:v>P13-05</x:v>
      </x:c>
      <x:c r="B217" s="10" t="str">
        <x:v>Evaluations</x:v>
      </x:c>
      <x:c r="C217" s="10" t="str">
        <x:v>Feature card</x:v>
      </x:c>
      <x:c r="D217" s="10" t="str">
        <x:v>Give incomplete work a clear next step.</x:v>
      </x:c>
      <x:c r="E217" s="10" t="str">
        <x:v>A092</x:v>
      </x:c>
      <x:c r="F217" s="10" t="str">
        <x:v>A failed step branching to a bounded retry or an escalation to a person.</x:v>
      </x:c>
      <x:c r="G217" s="10" t="str">
        <x:v>Rework</x:v>
      </x:c>
      <x:c r="H217" s="10" t="str">
        <x:f>'Production assets'!F97</x:f>
        <x:v>Not started</x:v>
      </x:c>
      <x:c r="I217" s="10" t="str">
        <x:v>1200 x 1000 WebP crop of shared master</x:v>
      </x:c>
      <x:c r="J217" s="10" t="str">
        <x:v>Existing product image</x:v>
      </x:c>
      <x:c r="K217" s="10" t="str">
        <x:v>/brand/platform/evaluations/retry.png</x:v>
      </x:c>
      <x:c r="L217" s="10" t="str">
        <x:v>320 x 267</x:v>
      </x:c>
      <x:c r="M217" s="10" t="str">
        <x:v>Navy, blue, blush, lavender</x:v>
      </x:c>
      <x:c r="N217" s="10" t="str">
        <x:v>Preserve the existing CSS gradient. Export foreground separately with transparent background. Keep key UI within the central 80%.</x:v>
      </x:c>
      <x:c r="O217" s="10" t="str">
        <x:v>http://localhost:3000/platform/evaluations#retry</x:v>
      </x:c>
    </x:row>
    <x:row r="218" ht="51" customHeight="1">
      <x:c r="A218" s="5" t="str">
        <x:v>P13-06</x:v>
      </x:c>
      <x:c r="B218" s="5" t="str">
        <x:v>Evaluations</x:v>
      </x:c>
      <x:c r="C218" s="5" t="str">
        <x:v>Feature card</x:v>
      </x:c>
      <x:c r="D218" s="5" t="str">
        <x:v>Define what a correct answer includes.</x:v>
      </x:c>
      <x:c r="E218" s="5" t="str">
        <x:v>A093</x:v>
      </x:c>
      <x:c r="F218" s="5" t="str">
        <x:v>A rubric editor listing required fields and business rules beside a sample result.</x:v>
      </x:c>
      <x:c r="G218" s="5" t="str">
        <x:v>Rework</x:v>
      </x:c>
      <x:c r="H218" s="5" t="str">
        <x:f>'Production assets'!F98</x:f>
        <x:v>Not started</x:v>
      </x:c>
      <x:c r="I218" s="5" t="str">
        <x:v>1200 x 1000 WebP crop of shared master</x:v>
      </x:c>
      <x:c r="J218" s="5" t="str">
        <x:v>Existing product image</x:v>
      </x:c>
      <x:c r="K218" s="5" t="str">
        <x:v>/brand/platform/evaluations/criteria.png</x:v>
      </x:c>
      <x:c r="L218" s="5" t="str">
        <x:v>320 x 267</x:v>
      </x:c>
      <x:c r="M218" s="5" t="str">
        <x:v>Navy, blue, blush, lavender</x:v>
      </x:c>
      <x:c r="N218" s="5" t="str">
        <x:v>Preserve the existing CSS gradient. Export foreground separately with transparent background. Keep key UI within the central 80%.</x:v>
      </x:c>
      <x:c r="O218" s="5" t="str">
        <x:v>http://localhost:3000/platform/evaluations#criteria</x:v>
      </x:c>
    </x:row>
    <x:row r="219" ht="51" customHeight="1">
      <x:c r="A219" s="10" t="str">
        <x:v>P13-07</x:v>
      </x:c>
      <x:c r="B219" s="10" t="str">
        <x:v>Evaluations</x:v>
      </x:c>
      <x:c r="C219" s="10" t="str">
        <x:v>Feature card</x:v>
      </x:c>
      <x:c r="D219" s="10" t="str">
        <x:v>Test against the work you expect.</x:v>
      </x:c>
      <x:c r="E219" s="10" t="str">
        <x:v>A094</x:v>
      </x:c>
      <x:c r="F219" s="10" t="str">
        <x:v>A test case library containing typical inputs and edge cases with expected outcomes.</x:v>
      </x:c>
      <x:c r="G219" s="10" t="str">
        <x:v>Rework</x:v>
      </x:c>
      <x:c r="H219" s="10" t="str">
        <x:f>'Production assets'!F99</x:f>
        <x:v>Not started</x:v>
      </x:c>
      <x:c r="I219" s="10" t="str">
        <x:v>1200 x 1000 WebP crop of shared master</x:v>
      </x:c>
      <x:c r="J219" s="10" t="str">
        <x:v>Existing product image</x:v>
      </x:c>
      <x:c r="K219" s="10" t="str">
        <x:v>/brand/platform/evaluations/datasets-innflow.png</x:v>
      </x:c>
      <x:c r="L219" s="10" t="str">
        <x:v>320 x 267</x:v>
      </x:c>
      <x:c r="M219" s="10" t="str">
        <x:v>Navy, blue, blush, lavender</x:v>
      </x:c>
      <x:c r="N219" s="10" t="str">
        <x:v>Preserve the existing CSS gradient. Export foreground separately with transparent background. Keep key UI within the central 80%.</x:v>
      </x:c>
      <x:c r="O219" s="10" t="str">
        <x:v>http://localhost:3000/platform/evaluations#datasets</x:v>
      </x:c>
    </x:row>
    <x:row r="220" ht="51" customHeight="1">
      <x:c r="A220" s="5" t="str">
        <x:v>P13-08</x:v>
      </x:c>
      <x:c r="B220" s="5" t="str">
        <x:v>Evaluations</x:v>
      </x:c>
      <x:c r="C220" s="5" t="str">
        <x:v>Feature card</x:v>
      </x:c>
      <x:c r="D220" s="5" t="str">
        <x:v>Connect review to the next improvement.</x:v>
      </x:c>
      <x:c r="E220" s="5" t="str">
        <x:v>A095</x:v>
      </x:c>
      <x:c r="F220" s="5" t="str">
        <x:v>A flagged evaluation linked to reviewer feedback and a proposed workflow change.</x:v>
      </x:c>
      <x:c r="G220" s="5" t="str">
        <x:v>Rework</x:v>
      </x:c>
      <x:c r="H220" s="5" t="str">
        <x:f>'Production assets'!F100</x:f>
        <x:v>Not started</x:v>
      </x:c>
      <x:c r="I220" s="5" t="str">
        <x:v>1200 x 1000 WebP crop of shared master</x:v>
      </x:c>
      <x:c r="J220" s="5" t="str">
        <x:v>Existing product image</x:v>
      </x:c>
      <x:c r="K220" s="5" t="str">
        <x:v>/brand/platform/evaluations/feedback.png</x:v>
      </x:c>
      <x:c r="L220" s="5" t="str">
        <x:v>320 x 267</x:v>
      </x:c>
      <x:c r="M220" s="5" t="str">
        <x:v>Navy, blue, blush, lavender</x:v>
      </x:c>
      <x:c r="N220" s="5" t="str">
        <x:v>Preserve the existing CSS gradient. Export foreground separately with transparent background. Keep key UI within the central 80%.</x:v>
      </x:c>
      <x:c r="O220" s="5" t="str">
        <x:v>http://localhost:3000/platform/evaluations#feedback</x:v>
      </x:c>
    </x:row>
    <x:row r="221" ht="51" customHeight="1">
      <x:c r="A221" s="10" t="str">
        <x:v>P13-09</x:v>
      </x:c>
      <x:c r="B221" s="10" t="str">
        <x:v>Evaluations</x:v>
      </x:c>
      <x:c r="C221" s="10" t="str">
        <x:v>Feature card</x:v>
      </x:c>
      <x:c r="D221" s="10" t="str">
        <x:v>Look beyond a completed-task count.</x:v>
      </x:c>
      <x:c r="E221" s="10" t="str">
        <x:v>A096</x:v>
      </x:c>
      <x:c r="F221" s="10" t="str">
        <x:v>An evaluation dashboard combining reviewed accuracy, unresolved issues and outcome quality.</x:v>
      </x:c>
      <x:c r="G221" s="10" t="str">
        <x:v>Rework</x:v>
      </x:c>
      <x:c r="H221" s="10" t="str">
        <x:f>'Production assets'!F101</x:f>
        <x:v>Not started</x:v>
      </x:c>
      <x:c r="I221" s="10" t="str">
        <x:v>1200 x 1000 WebP crop of shared master</x:v>
      </x:c>
      <x:c r="J221" s="10" t="str">
        <x:v>Existing product image</x:v>
      </x:c>
      <x:c r="K221" s="10" t="str">
        <x:v>/brand/platform/evaluations/dashboards.png</x:v>
      </x:c>
      <x:c r="L221" s="10" t="str">
        <x:v>320 x 267</x:v>
      </x:c>
      <x:c r="M221" s="10" t="str">
        <x:v>Navy, blue, blush, lavender</x:v>
      </x:c>
      <x:c r="N221" s="10" t="str">
        <x:v>Preserve the existing CSS gradient. Export foreground separately with transparent background. Keep key UI within the central 80%.</x:v>
      </x:c>
      <x:c r="O221" s="10" t="str">
        <x:v>http://localhost:3000/platform/evaluations#dashboards</x:v>
      </x:c>
    </x:row>
    <x:row r="222" ht="51" customHeight="1">
      <x:c r="A222" s="5" t="str">
        <x:v>P13-10</x:v>
      </x:c>
      <x:c r="B222" s="5" t="str">
        <x:v>Evaluations</x:v>
      </x:c>
      <x:c r="C222" s="5" t="str">
        <x:v>Feature card</x:v>
      </x:c>
      <x:c r="D222" s="5" t="str">
        <x:v>Share the evidence behind progress.</x:v>
      </x:c>
      <x:c r="E222" s="5" t="str">
        <x:v>A097</x:v>
      </x:c>
      <x:c r="F222" s="5" t="str">
        <x:v>A review report combining a small trend, example outcomes and their source evidence.</x:v>
      </x:c>
      <x:c r="G222" s="5" t="str">
        <x:v>Rework</x:v>
      </x:c>
      <x:c r="H222" s="5" t="str">
        <x:f>'Production assets'!F102</x:f>
        <x:v>Not started</x:v>
      </x:c>
      <x:c r="I222" s="5" t="str">
        <x:v>1200 x 1000 WebP crop of shared master</x:v>
      </x:c>
      <x:c r="J222" s="5" t="str">
        <x:v>Existing product image</x:v>
      </x:c>
      <x:c r="K222" s="5" t="str">
        <x:v>/brand/platform/evaluations/reporting.png</x:v>
      </x:c>
      <x:c r="L222" s="5" t="str">
        <x:v>320 x 267</x:v>
      </x:c>
      <x:c r="M222" s="5" t="str">
        <x:v>Navy, blue, blush, lavender</x:v>
      </x:c>
      <x:c r="N222" s="5" t="str">
        <x:v>Preserve the existing CSS gradient. Export foreground separately with transparent background. Keep key UI within the central 80%.</x:v>
      </x:c>
      <x:c r="O222" s="5" t="str">
        <x:v>http://localhost:3000/platform/evaluations#reporting</x:v>
      </x:c>
    </x:row>
    <x:row r="223" ht="51" customHeight="1">
      <x:c r="A223" s="10" t="str">
        <x:v>P13-11</x:v>
      </x:c>
      <x:c r="B223" s="10" t="str">
        <x:v>Evaluations</x:v>
      </x:c>
      <x:c r="C223" s="10" t="str">
        <x:v>Feature detail</x:v>
      </x:c>
      <x:c r="D223" s="10" t="str">
        <x:v>See where a result needs attention.</x:v>
      </x:c>
      <x:c r="E223" s="10" t="str">
        <x:v>A090</x:v>
      </x:c>
      <x:c r="F223" s="10" t="str">
        <x:v>An evaluation view drilling from task result to step result to one extracted field.</x:v>
      </x:c>
      <x:c r="G223" s="10" t="str">
        <x:v>Rework</x:v>
      </x:c>
      <x:c r="H223" s="10" t="str">
        <x:f>'Production assets'!F95</x:f>
        <x:v>Not started</x:v>
      </x:c>
      <x:c r="I223" s="10" t="str">
        <x:v>Editable SVG/layers + 1200 x 1200 WebP</x:v>
      </x:c>
      <x:c r="J223" s="10" t="str">
        <x:v>Existing product image</x:v>
      </x:c>
      <x:c r="K223" s="10" t="str">
        <x:v>/brand/platform/evaluations/accuracy.png</x:v>
      </x:c>
      <x:c r="L223" s="10" t="str">
        <x:v>580 x 580</x:v>
      </x:c>
      <x:c r="M223" s="10" t="str">
        <x:v>Navy, blue, blush, lavender</x:v>
      </x:c>
      <x:c r="N223" s="10" t="str">
        <x:v>Preserve the existing CSS gradient. Export foreground separately with transparent background. Keep key UI within the central 80%.</x:v>
      </x:c>
      <x:c r="O223" s="10" t="str">
        <x:v>http://localhost:3000/platform/evaluations#accuracy</x:v>
      </x:c>
    </x:row>
    <x:row r="224" ht="51" customHeight="1">
      <x:c r="A224" s="5" t="str">
        <x:v>P13-12</x:v>
      </x:c>
      <x:c r="B224" s="5" t="str">
        <x:v>Evaluations</x:v>
      </x:c>
      <x:c r="C224" s="5" t="str">
        <x:v>Feature detail</x:v>
      </x:c>
      <x:c r="D224" s="5" t="str">
        <x:v>Set a useful baseline.</x:v>
      </x:c>
      <x:c r="E224" s="5" t="str">
        <x:v>A091</x:v>
      </x:c>
      <x:c r="F224" s="5" t="str">
        <x:v>A human-reviewed reference answer compared side by side with an agent output.</x:v>
      </x:c>
      <x:c r="G224" s="5" t="str">
        <x:v>Rework</x:v>
      </x:c>
      <x:c r="H224" s="5" t="str">
        <x:f>'Production assets'!F96</x:f>
        <x:v>Not started</x:v>
      </x:c>
      <x:c r="I224" s="5" t="str">
        <x:v>Editable SVG/layers + 1200 x 1200 WebP</x:v>
      </x:c>
      <x:c r="J224" s="5" t="str">
        <x:v>Existing product image</x:v>
      </x:c>
      <x:c r="K224" s="5" t="str">
        <x:v>/brand/platform/evaluations/benchmarks.png</x:v>
      </x:c>
      <x:c r="L224" s="5" t="str">
        <x:v>532 x 532</x:v>
      </x:c>
      <x:c r="M224" s="5" t="str">
        <x:v>Navy, blue, blush, lavender</x:v>
      </x:c>
      <x:c r="N224" s="5" t="str">
        <x:v>Preserve the existing CSS gradient. Export foreground separately with transparent background. Keep key UI within the central 80%.</x:v>
      </x:c>
      <x:c r="O224" s="5" t="str">
        <x:v>http://localhost:3000/platform/evaluations#benchmarks</x:v>
      </x:c>
    </x:row>
    <x:row r="225" ht="51" customHeight="1">
      <x:c r="A225" s="10" t="str">
        <x:v>P13-13</x:v>
      </x:c>
      <x:c r="B225" s="10" t="str">
        <x:v>Evaluations</x:v>
      </x:c>
      <x:c r="C225" s="10" t="str">
        <x:v>Feature detail</x:v>
      </x:c>
      <x:c r="D225" s="10" t="str">
        <x:v>Give incomplete work a clear next step.</x:v>
      </x:c>
      <x:c r="E225" s="10" t="str">
        <x:v>A092</x:v>
      </x:c>
      <x:c r="F225" s="10" t="str">
        <x:v>A failed step branching to a bounded retry or an escalation to a person.</x:v>
      </x:c>
      <x:c r="G225" s="10" t="str">
        <x:v>Rework</x:v>
      </x:c>
      <x:c r="H225" s="10" t="str">
        <x:f>'Production assets'!F97</x:f>
        <x:v>Not started</x:v>
      </x:c>
      <x:c r="I225" s="10" t="str">
        <x:v>Editable SVG/layers + 1200 x 1200 WebP</x:v>
      </x:c>
      <x:c r="J225" s="10" t="str">
        <x:v>Existing product image</x:v>
      </x:c>
      <x:c r="K225" s="10" t="str">
        <x:v>/brand/platform/evaluations/retry.png</x:v>
      </x:c>
      <x:c r="L225" s="10" t="str">
        <x:v>580 x 580</x:v>
      </x:c>
      <x:c r="M225" s="10" t="str">
        <x:v>Navy, blue, blush, lavender</x:v>
      </x:c>
      <x:c r="N225" s="10" t="str">
        <x:v>Preserve the existing CSS gradient. Export foreground separately with transparent background. Keep key UI within the central 80%.</x:v>
      </x:c>
      <x:c r="O225" s="10" t="str">
        <x:v>http://localhost:3000/platform/evaluations#retry</x:v>
      </x:c>
    </x:row>
    <x:row r="226" ht="51" customHeight="1">
      <x:c r="A226" s="5" t="str">
        <x:v>P13-14</x:v>
      </x:c>
      <x:c r="B226" s="5" t="str">
        <x:v>Evaluations</x:v>
      </x:c>
      <x:c r="C226" s="5" t="str">
        <x:v>Feature detail</x:v>
      </x:c>
      <x:c r="D226" s="5" t="str">
        <x:v>Define what a correct answer includes.</x:v>
      </x:c>
      <x:c r="E226" s="5" t="str">
        <x:v>A093</x:v>
      </x:c>
      <x:c r="F226" s="5" t="str">
        <x:v>A rubric editor listing required fields and business rules beside a sample result.</x:v>
      </x:c>
      <x:c r="G226" s="5" t="str">
        <x:v>Rework</x:v>
      </x:c>
      <x:c r="H226" s="5" t="str">
        <x:f>'Production assets'!F98</x:f>
        <x:v>Not started</x:v>
      </x:c>
      <x:c r="I226" s="5" t="str">
        <x:v>Editable SVG/layers + 1200 x 1200 WebP</x:v>
      </x:c>
      <x:c r="J226" s="5" t="str">
        <x:v>Existing product image</x:v>
      </x:c>
      <x:c r="K226" s="5" t="str">
        <x:v>/brand/platform/evaluations/criteria.png</x:v>
      </x:c>
      <x:c r="L226" s="5" t="str">
        <x:v>532 x 532</x:v>
      </x:c>
      <x:c r="M226" s="5" t="str">
        <x:v>Navy, blue, blush, lavender</x:v>
      </x:c>
      <x:c r="N226" s="5" t="str">
        <x:v>Preserve the existing CSS gradient. Export foreground separately with transparent background. Keep key UI within the central 80%.</x:v>
      </x:c>
      <x:c r="O226" s="5" t="str">
        <x:v>http://localhost:3000/platform/evaluations#criteria</x:v>
      </x:c>
    </x:row>
    <x:row r="227" ht="51" customHeight="1">
      <x:c r="A227" s="10" t="str">
        <x:v>P13-15</x:v>
      </x:c>
      <x:c r="B227" s="10" t="str">
        <x:v>Evaluations</x:v>
      </x:c>
      <x:c r="C227" s="10" t="str">
        <x:v>Feature detail</x:v>
      </x:c>
      <x:c r="D227" s="10" t="str">
        <x:v>Test against the work you expect.</x:v>
      </x:c>
      <x:c r="E227" s="10" t="str">
        <x:v>A094</x:v>
      </x:c>
      <x:c r="F227" s="10" t="str">
        <x:v>A test case library containing typical inputs and edge cases with expected outcomes.</x:v>
      </x:c>
      <x:c r="G227" s="10" t="str">
        <x:v>Rework</x:v>
      </x:c>
      <x:c r="H227" s="10" t="str">
        <x:f>'Production assets'!F99</x:f>
        <x:v>Not started</x:v>
      </x:c>
      <x:c r="I227" s="10" t="str">
        <x:v>Editable SVG/layers + 1200 x 1200 WebP</x:v>
      </x:c>
      <x:c r="J227" s="10" t="str">
        <x:v>Existing product image</x:v>
      </x:c>
      <x:c r="K227" s="10" t="str">
        <x:v>/brand/platform/evaluations/datasets-innflow.png</x:v>
      </x:c>
      <x:c r="L227" s="10" t="str">
        <x:v>580 x 580</x:v>
      </x:c>
      <x:c r="M227" s="10" t="str">
        <x:v>Navy, blue, blush, lavender</x:v>
      </x:c>
      <x:c r="N227" s="10" t="str">
        <x:v>Preserve the existing CSS gradient. Export foreground separately with transparent background. Keep key UI within the central 80%.</x:v>
      </x:c>
      <x:c r="O227" s="10" t="str">
        <x:v>http://localhost:3000/platform/evaluations#datasets</x:v>
      </x:c>
    </x:row>
    <x:row r="228" ht="51" customHeight="1">
      <x:c r="A228" s="5" t="str">
        <x:v>P13-16</x:v>
      </x:c>
      <x:c r="B228" s="5" t="str">
        <x:v>Evaluations</x:v>
      </x:c>
      <x:c r="C228" s="5" t="str">
        <x:v>Feature detail</x:v>
      </x:c>
      <x:c r="D228" s="5" t="str">
        <x:v>Connect review to the next improvement.</x:v>
      </x:c>
      <x:c r="E228" s="5" t="str">
        <x:v>A095</x:v>
      </x:c>
      <x:c r="F228" s="5" t="str">
        <x:v>A flagged evaluation linked to reviewer feedback and a proposed workflow change.</x:v>
      </x:c>
      <x:c r="G228" s="5" t="str">
        <x:v>Rework</x:v>
      </x:c>
      <x:c r="H228" s="5" t="str">
        <x:f>'Production assets'!F100</x:f>
        <x:v>Not started</x:v>
      </x:c>
      <x:c r="I228" s="5" t="str">
        <x:v>Editable SVG/layers + 1200 x 1200 WebP</x:v>
      </x:c>
      <x:c r="J228" s="5" t="str">
        <x:v>Existing product image</x:v>
      </x:c>
      <x:c r="K228" s="5" t="str">
        <x:v>/brand/platform/evaluations/feedback.png</x:v>
      </x:c>
      <x:c r="L228" s="5" t="str">
        <x:v>532 x 532</x:v>
      </x:c>
      <x:c r="M228" s="5" t="str">
        <x:v>Navy, blue, blush, lavender</x:v>
      </x:c>
      <x:c r="N228" s="5" t="str">
        <x:v>Preserve the existing CSS gradient. Export foreground separately with transparent background. Keep key UI within the central 80%.</x:v>
      </x:c>
      <x:c r="O228" s="5" t="str">
        <x:v>http://localhost:3000/platform/evaluations#feedback</x:v>
      </x:c>
    </x:row>
    <x:row r="229" ht="51" customHeight="1">
      <x:c r="A229" s="10" t="str">
        <x:v>P13-17</x:v>
      </x:c>
      <x:c r="B229" s="10" t="str">
        <x:v>Evaluations</x:v>
      </x:c>
      <x:c r="C229" s="10" t="str">
        <x:v>Feature detail</x:v>
      </x:c>
      <x:c r="D229" s="10" t="str">
        <x:v>Look beyond a completed-task count.</x:v>
      </x:c>
      <x:c r="E229" s="10" t="str">
        <x:v>A096</x:v>
      </x:c>
      <x:c r="F229" s="10" t="str">
        <x:v>An evaluation dashboard combining reviewed accuracy, unresolved issues and outcome quality.</x:v>
      </x:c>
      <x:c r="G229" s="10" t="str">
        <x:v>Rework</x:v>
      </x:c>
      <x:c r="H229" s="10" t="str">
        <x:f>'Production assets'!F101</x:f>
        <x:v>Not started</x:v>
      </x:c>
      <x:c r="I229" s="10" t="str">
        <x:v>Editable SVG/layers + 1200 x 1200 WebP</x:v>
      </x:c>
      <x:c r="J229" s="10" t="str">
        <x:v>Existing product image</x:v>
      </x:c>
      <x:c r="K229" s="10" t="str">
        <x:v>/brand/platform/evaluations/dashboards.png</x:v>
      </x:c>
      <x:c r="L229" s="10" t="str">
        <x:v>580 x 580</x:v>
      </x:c>
      <x:c r="M229" s="10" t="str">
        <x:v>Navy, blue, blush, lavender</x:v>
      </x:c>
      <x:c r="N229" s="10" t="str">
        <x:v>Preserve the existing CSS gradient. Export foreground separately with transparent background. Keep key UI within the central 80%.</x:v>
      </x:c>
      <x:c r="O229" s="10" t="str">
        <x:v>http://localhost:3000/platform/evaluations#dashboards</x:v>
      </x:c>
    </x:row>
    <x:row r="230" ht="51" customHeight="1">
      <x:c r="A230" s="5" t="str">
        <x:v>P13-18</x:v>
      </x:c>
      <x:c r="B230" s="5" t="str">
        <x:v>Evaluations</x:v>
      </x:c>
      <x:c r="C230" s="5" t="str">
        <x:v>Feature detail</x:v>
      </x:c>
      <x:c r="D230" s="5" t="str">
        <x:v>Share the evidence behind progress.</x:v>
      </x:c>
      <x:c r="E230" s="5" t="str">
        <x:v>A097</x:v>
      </x:c>
      <x:c r="F230" s="5" t="str">
        <x:v>A review report combining a small trend, example outcomes and their source evidence.</x:v>
      </x:c>
      <x:c r="G230" s="5" t="str">
        <x:v>Rework</x:v>
      </x:c>
      <x:c r="H230" s="5" t="str">
        <x:f>'Production assets'!F102</x:f>
        <x:v>Not started</x:v>
      </x:c>
      <x:c r="I230" s="5" t="str">
        <x:v>Editable SVG/layers + 1200 x 1200 WebP</x:v>
      </x:c>
      <x:c r="J230" s="5" t="str">
        <x:v>Existing product image</x:v>
      </x:c>
      <x:c r="K230" s="5" t="str">
        <x:v>/brand/platform/evaluations/reporting.png</x:v>
      </x:c>
      <x:c r="L230" s="5" t="str">
        <x:v>532 x 532</x:v>
      </x:c>
      <x:c r="M230" s="5" t="str">
        <x:v>Navy, blue, blush, lavender</x:v>
      </x:c>
      <x:c r="N230" s="5" t="str">
        <x:v>Preserve the existing CSS gradient. Export foreground separately with transparent background. Keep key UI within the central 80%.</x:v>
      </x:c>
      <x:c r="O230" s="5" t="str">
        <x:v>http://localhost:3000/platform/evaluations#reporting</x:v>
      </x:c>
    </x:row>
    <x:row r="231" ht="38" customHeight="1">
      <x:c r="A231" s="10" t="str">
        <x:v>P13-19</x:v>
      </x:c>
      <x:c r="B231" s="10" t="str">
        <x:v>Evaluations</x:v>
      </x:c>
      <x:c r="C231" s="10" t="str">
        <x:v>Related product thumbnail</x:v>
      </x:c>
      <x:c r="D231" s="10" t="str">
        <x:v>Platform</x:v>
      </x:c>
      <x:c r="E231" s="10" t="str">
        <x:v>A015</x:v>
      </x:c>
      <x:c r="F231" s="10" t="str">
        <x:v>A compact workspace overview linking agents, tools and shared knowledge.</x:v>
      </x:c>
      <x:c r="G231" s="10" t="str">
        <x:v>Create</x:v>
      </x:c>
      <x:c r="H231" s="10" t="str">
        <x:f>'Production assets'!F20</x:f>
        <x:v>Not started</x:v>
      </x:c>
      <x:c r="I231" s="10" t="str">
        <x:v>Editable SVG + 1200 x 1000 WebP</x:v>
      </x:c>
      <x:c r="J231" s="10" t="str">
        <x:v>Generic star on gradient</x:v>
      </x:c>
      <x:c r="K231" s="10" t="str">
        <x:v>/brand/calendly/assistant-hero.svg + star glyph</x:v>
      </x:c>
      <x:c r="L231" s="10" t="str">
        <x:v>227 x 189</x:v>
      </x:c>
      <x:c r="M231" s="10" t="str">
        <x:v>Ice blue, white, teal, deep green</x:v>
      </x:c>
      <x:c r="N231" s="10" t="str">
        <x:v>Create once and reuse across related-product cards and the Platform card rail. Keep the gradient separate.</x:v>
      </x:c>
      <x:c r="O231" s="10" t="str">
        <x:v>http://localhost:3000/platform/evaluations</x:v>
      </x:c>
    </x:row>
    <x:row r="232" ht="38" customHeight="1">
      <x:c r="A232" s="5" t="str">
        <x:v>P13-20</x:v>
      </x:c>
      <x:c r="B232" s="5" t="str">
        <x:v>Evaluations</x:v>
      </x:c>
      <x:c r="C232" s="5" t="str">
        <x:v>Related product thumbnail</x:v>
      </x:c>
      <x:c r="D232" s="5" t="str">
        <x:v>Integrations</x:v>
      </x:c>
      <x:c r="E232" s="5" t="str">
        <x:v>A006</x:v>
      </x:c>
      <x:c r="F232" s="5" t="str">
        <x:v>A central Innflow node connected to a small set of tool tiles.</x:v>
      </x:c>
      <x:c r="G232" s="5" t="str">
        <x:v>Create</x:v>
      </x:c>
      <x:c r="H232" s="5" t="str">
        <x:f>'Production assets'!F11</x:f>
        <x:v>Not started</x:v>
      </x:c>
      <x:c r="I232" s="5" t="str">
        <x:v>Editable SVG + 1200 x 1000 WebP</x:v>
      </x:c>
      <x:c r="J232" s="5" t="str">
        <x:v>Generic star on gradient</x:v>
      </x:c>
      <x:c r="K232" s="5" t="str">
        <x:v>/brand/calendly/scheduling-hero.svg + star glyph</x:v>
      </x:c>
      <x:c r="L232" s="5" t="str">
        <x:v>227 x 189</x:v>
      </x:c>
      <x:c r="M232" s="5" t="str">
        <x:v>Sky blue, pale aqua, navy</x:v>
      </x:c>
      <x:c r="N232" s="5" t="str">
        <x:v>Create once and reuse across related-product cards and the Platform card rail. Keep the gradient separate.</x:v>
      </x:c>
      <x:c r="O232" s="5" t="str">
        <x:v>http://localhost:3000/platform/evaluations</x:v>
      </x:c>
    </x:row>
    <x:row r="233" ht="38" customHeight="1">
      <x:c r="A233" s="10" t="str">
        <x:v>P13-21</x:v>
      </x:c>
      <x:c r="B233" s="10" t="str">
        <x:v>Evaluations</x:v>
      </x:c>
      <x:c r="C233" s="10" t="str">
        <x:v>Related product thumbnail</x:v>
      </x:c>
      <x:c r="D233" s="10" t="str">
        <x:v>Agentic Workflows</x:v>
      </x:c>
      <x:c r="E233" s="10" t="str">
        <x:v>A010</x:v>
      </x:c>
      <x:c r="F233" s="10" t="str">
        <x:v>A compact workflow canvas with trigger, branch and action nodes.</x:v>
      </x:c>
      <x:c r="G233" s="10" t="str">
        <x:v>Create</x:v>
      </x:c>
      <x:c r="H233" s="10" t="str">
        <x:f>'Production assets'!F15</x:f>
        <x:v>Not started</x:v>
      </x:c>
      <x:c r="I233" s="10" t="str">
        <x:v>Editable SVG + 1200 x 1000 WebP</x:v>
      </x:c>
      <x:c r="J233" s="10" t="str">
        <x:v>Generic star on gradient</x:v>
      </x:c>
      <x:c r="K233" s="10" t="str">
        <x:v>/brand/calendly/notetaker-hero.svg + star glyph</x:v>
      </x:c>
      <x:c r="L233" s="10" t="str">
        <x:v>227 x 189</x:v>
      </x:c>
      <x:c r="M233" s="10" t="str">
        <x:v>Navy, blue, blush, lavender</x:v>
      </x:c>
      <x:c r="N233" s="10" t="str">
        <x:v>Create once and reuse across related-product cards and the Platform card rail. Keep the gradient separate.</x:v>
      </x:c>
      <x:c r="O233" s="10" t="str">
        <x:v>http://localhost:3000/platform/evaluations</x:v>
      </x:c>
    </x:row>
    <x:row r="234" ht="38" customHeight="1">
      <x:c r="A234" s="5" t="str">
        <x:v>P13-22</x:v>
      </x:c>
      <x:c r="B234" s="5" t="str">
        <x:v>Evaluations</x:v>
      </x:c>
      <x:c r="C234" s="5" t="str">
        <x:v>Related product thumbnail</x:v>
      </x:c>
      <x:c r="D234" s="5" t="str">
        <x:v>Agent OS</x:v>
      </x:c>
      <x:c r="E234" s="5" t="str">
        <x:v>A011</x:v>
      </x:c>
      <x:c r="F234" s="5" t="str">
        <x:v>A small orchestration graph connecting agents and shared memory.</x:v>
      </x:c>
      <x:c r="G234" s="5" t="str">
        <x:v>Create</x:v>
      </x:c>
      <x:c r="H234" s="5" t="str">
        <x:f>'Production assets'!F16</x:f>
        <x:v>Not started</x:v>
      </x:c>
      <x:c r="I234" s="5" t="str">
        <x:v>Editable SVG + 1200 x 1000 WebP</x:v>
      </x:c>
      <x:c r="J234" s="5" t="str">
        <x:v>Generic star on gradient</x:v>
      </x:c>
      <x:c r="K234" s="5" t="str">
        <x:v>/brand/calendly/contacts-hero.svg + star glyph</x:v>
      </x:c>
      <x:c r="L234" s="5" t="str">
        <x:v>227 x 189</x:v>
      </x:c>
      <x:c r="M234" s="5" t="str">
        <x:v>Cream, peach, pink, blue</x:v>
      </x:c>
      <x:c r="N234" s="5" t="str">
        <x:v>Create once and reuse across related-product cards and the Platform card rail. Keep the gradient separate.</x:v>
      </x:c>
      <x:c r="O234" s="5" t="str">
        <x:v>http://localhost:3000/platform/evaluations</x:v>
      </x:c>
    </x:row>
    <x:row r="235" ht="38" customHeight="1">
      <x:c r="A235" s="10" t="str">
        <x:v>P13-23</x:v>
      </x:c>
      <x:c r="B235" s="10" t="str">
        <x:v>Evaluations</x:v>
      </x:c>
      <x:c r="C235" s="10" t="str">
        <x:v>Related product thumbnail</x:v>
      </x:c>
      <x:c r="D235" s="10" t="str">
        <x:v>AI Agents</x:v>
      </x:c>
      <x:c r="E235" s="10" t="str">
        <x:v>A012</x:v>
      </x:c>
      <x:c r="F235" s="10" t="str">
        <x:v>An agent task card with linked evidence and a proposed next action.</x:v>
      </x:c>
      <x:c r="G235" s="10" t="str">
        <x:v>Create</x:v>
      </x:c>
      <x:c r="H235" s="10" t="str">
        <x:f>'Production assets'!F17</x:f>
        <x:v>Not started</x:v>
      </x:c>
      <x:c r="I235" s="10" t="str">
        <x:v>Editable SVG + 1200 x 1000 WebP</x:v>
      </x:c>
      <x:c r="J235" s="10" t="str">
        <x:v>Generic star on gradient</x:v>
      </x:c>
      <x:c r="K235" s="10" t="str">
        <x:v>/brand/calendly/payments-hero.svg + star glyph</x:v>
      </x:c>
      <x:c r="L235" s="10" t="str">
        <x:v>227 x 189</x:v>
      </x:c>
      <x:c r="M235" s="10" t="str">
        <x:v>Pale mint, aqua, blue, navy</x:v>
      </x:c>
      <x:c r="N235" s="10" t="str">
        <x:v>Create once and reuse across related-product cards and the Platform card rail. Keep the gradient separate.</x:v>
      </x:c>
      <x:c r="O235" s="10" t="str">
        <x:v>http://localhost:3000/platform/evaluations</x:v>
      </x:c>
    </x:row>
    <x:row r="236" ht="38" customHeight="1">
      <x:c r="A236" s="5" t="str">
        <x:v>P14-01</x:v>
      </x:c>
      <x:c r="B236" s="5" t="str">
        <x:v>Analytics and Observability</x:v>
      </x:c>
      <x:c r="C236" s="5" t="str">
        <x:v>Hero background</x:v>
      </x:c>
      <x:c r="D236" s="5" t="str">
        <x:v>Understand every step of your agent workflows.</x:v>
      </x:c>
      <x:c r="E236" s="5" t="str">
        <x:v>A025</x:v>
      </x:c>
      <x:c r="F236" s="5" t="str">
        <x:v>Reuse the existing Paper SVG as a separate background layer. No new background required.</x:v>
      </x:c>
      <x:c r="G236" s="5" t="str">
        <x:v>Reuse</x:v>
      </x:c>
      <x:c r="H236" s="5" t="str">
        <x:f>'Production assets'!F30</x:f>
        <x:v>Existing</x:v>
      </x:c>
      <x:c r="I236" s="5" t="str">
        <x:v>Existing scalable SVG</x:v>
      </x:c>
      <x:c r="J236" s="5" t="str">
        <x:v>Existing background</x:v>
      </x:c>
      <x:c r="K236" s="5" t="str">
        <x:v>/brand/calendly/contacts-hero.svg</x:v>
      </x:c>
      <x:c r="L236" s="5" t="str">
        <x:v>1387 x 776</x:v>
      </x:c>
      <x:c r="M236" s="5" t="str">
        <x:v>Cream, peach, pink, blue</x:v>
      </x:c>
      <x:c r="N236" s="5" t="str">
        <x:v>Shared by every page using this style.</x:v>
      </x:c>
      <x:c r="O236" s="5" t="str">
        <x:v>http://localhost:3000/platform/analytics-and-observability</x:v>
      </x:c>
    </x:row>
    <x:row r="237" ht="51" customHeight="1">
      <x:c r="A237" s="10" t="str">
        <x:v>P14-02</x:v>
      </x:c>
      <x:c r="B237" s="10" t="str">
        <x:v>Analytics and Observability</x:v>
      </x:c>
      <x:c r="C237" s="10" t="str">
        <x:v>Capability overview</x:v>
      </x:c>
      <x:c r="D237" s="10" t="str">
        <x:v>Performance dashboards</x:v>
      </x:c>
      <x:c r="E237" s="10" t="str">
        <x:v>A098</x:v>
      </x:c>
      <x:c r="F237" s="10" t="str">
        <x:v>A workflow dashboard showing run volume, duration and a queue of exceptions.</x:v>
      </x:c>
      <x:c r="G237" s="10" t="str">
        <x:v>Rework</x:v>
      </x:c>
      <x:c r="H237" s="10" t="str">
        <x:f>'Production assets'!F103</x:f>
        <x:v>Not started</x:v>
      </x:c>
      <x:c r="I237" s="10" t="str">
        <x:v>Editable SVG/layers + 1200 x 1200 WebP</x:v>
      </x:c>
      <x:c r="J237" s="10" t="str">
        <x:v>Existing product image</x:v>
      </x:c>
      <x:c r="K237" s="10" t="str">
        <x:v>/brand/platform/analytics-and-observability/performance.png</x:v>
      </x:c>
      <x:c r="L237" s="10" t="str">
        <x:v>580 x 580</x:v>
      </x:c>
      <x:c r="M237" s="10" t="str">
        <x:v>Cream, peach, pink, blue</x:v>
      </x:c>
      <x:c r="N237" s="10" t="str">
        <x:v>Preserve the existing CSS gradient. Export foreground separately with transparent background. Keep key UI within the central 80%. Reuses the first feature detail artwork.</x:v>
      </x:c>
      <x:c r="O237" s="10" t="str">
        <x:v>http://localhost:3000/platform/analytics-and-observability#performance</x:v>
      </x:c>
    </x:row>
    <x:row r="238" ht="51" customHeight="1">
      <x:c r="A238" s="5" t="str">
        <x:v>P14-03</x:v>
      </x:c>
      <x:c r="B238" s="5" t="str">
        <x:v>Analytics and Observability</x:v>
      </x:c>
      <x:c r="C238" s="5" t="str">
        <x:v>Feature card</x:v>
      </x:c>
      <x:c r="D238" s="5" t="str">
        <x:v>See how the operation is moving.</x:v>
      </x:c>
      <x:c r="E238" s="5" t="str">
        <x:v>A098</x:v>
      </x:c>
      <x:c r="F238" s="5" t="str">
        <x:v>A workflow dashboard showing run volume, duration and a queue of exceptions.</x:v>
      </x:c>
      <x:c r="G238" s="5" t="str">
        <x:v>Rework</x:v>
      </x:c>
      <x:c r="H238" s="5" t="str">
        <x:f>'Production assets'!F103</x:f>
        <x:v>Not started</x:v>
      </x:c>
      <x:c r="I238" s="5" t="str">
        <x:v>1200 x 1000 WebP crop of shared master</x:v>
      </x:c>
      <x:c r="J238" s="5" t="str">
        <x:v>Existing product image</x:v>
      </x:c>
      <x:c r="K238" s="5" t="str">
        <x:v>/brand/platform/analytics-and-observability/performance.png</x:v>
      </x:c>
      <x:c r="L238" s="5" t="str">
        <x:v>320 x 267</x:v>
      </x:c>
      <x:c r="M238" s="5" t="str">
        <x:v>Cream, peach, pink, blue</x:v>
      </x:c>
      <x:c r="N238" s="5" t="str">
        <x:v>Preserve the existing CSS gradient. Export foreground separately with transparent background. Keep key UI within the central 80%.</x:v>
      </x:c>
      <x:c r="O238" s="5" t="str">
        <x:v>http://localhost:3000/platform/analytics-and-observability#performance</x:v>
      </x:c>
    </x:row>
    <x:row r="239" ht="51" customHeight="1">
      <x:c r="A239" s="10" t="str">
        <x:v>P14-04</x:v>
      </x:c>
      <x:c r="B239" s="10" t="str">
        <x:v>Analytics and Observability</x:v>
      </x:c>
      <x:c r="C239" s="10" t="str">
        <x:v>Feature card</x:v>
      </x:c>
      <x:c r="D239" s="10" t="str">
        <x:v>Find the source of an incorrect result.</x:v>
      </x:c>
      <x:c r="E239" s="10" t="str">
        <x:v>A099</x:v>
      </x:c>
      <x:c r="F239" s="10" t="str">
        <x:v>A result investigation drilling down to a flagged field and its original source.</x:v>
      </x:c>
      <x:c r="G239" s="10" t="str">
        <x:v>Rework</x:v>
      </x:c>
      <x:c r="H239" s="10" t="str">
        <x:f>'Production assets'!F104</x:f>
        <x:v>Not started</x:v>
      </x:c>
      <x:c r="I239" s="10" t="str">
        <x:v>1200 x 1000 WebP crop of shared master</x:v>
      </x:c>
      <x:c r="J239" s="10" t="str">
        <x:v>Existing product image</x:v>
      </x:c>
      <x:c r="K239" s="10" t="str">
        <x:v>/brand/platform/analytics-and-observability/accuracy.png</x:v>
      </x:c>
      <x:c r="L239" s="10" t="str">
        <x:v>320 x 267</x:v>
      </x:c>
      <x:c r="M239" s="10" t="str">
        <x:v>Cream, peach, pink, blue</x:v>
      </x:c>
      <x:c r="N239" s="10" t="str">
        <x:v>Preserve the existing CSS gradient. Export foreground separately with transparent background. Keep key UI within the central 80%.</x:v>
      </x:c>
      <x:c r="O239" s="10" t="str">
        <x:v>http://localhost:3000/platform/analytics-and-observability#accuracy</x:v>
      </x:c>
    </x:row>
    <x:row r="240" ht="51" customHeight="1">
      <x:c r="A240" s="5" t="str">
        <x:v>P14-05</x:v>
      </x:c>
      <x:c r="B240" s="5" t="str">
        <x:v>Analytics and Observability</x:v>
      </x:c>
      <x:c r="C240" s="5" t="str">
        <x:v>Feature card</x:v>
      </x:c>
      <x:c r="D240" s="5" t="str">
        <x:v>Follow the full sequence.</x:v>
      </x:c>
      <x:c r="E240" s="5" t="str">
        <x:v>A100</x:v>
      </x:c>
      <x:c r="F240" s="5" t="str">
        <x:v>An execution trace with ordered agent and tool spans and one expanded handoff.</x:v>
      </x:c>
      <x:c r="G240" s="5" t="str">
        <x:v>Rework</x:v>
      </x:c>
      <x:c r="H240" s="5" t="str">
        <x:f>'Production assets'!F105</x:f>
        <x:v>Not started</x:v>
      </x:c>
      <x:c r="I240" s="5" t="str">
        <x:v>1200 x 1000 WebP crop of shared master</x:v>
      </x:c>
      <x:c r="J240" s="5" t="str">
        <x:v>Existing product image</x:v>
      </x:c>
      <x:c r="K240" s="5" t="str">
        <x:v>/brand/platform/analytics-and-observability/traces-innflow.png</x:v>
      </x:c>
      <x:c r="L240" s="5" t="str">
        <x:v>320 x 267</x:v>
      </x:c>
      <x:c r="M240" s="5" t="str">
        <x:v>Cream, peach, pink, blue</x:v>
      </x:c>
      <x:c r="N240" s="5" t="str">
        <x:v>Preserve the existing CSS gradient. Export foreground separately with transparent background. Keep key UI within the central 80%.</x:v>
      </x:c>
      <x:c r="O240" s="5" t="str">
        <x:v>http://localhost:3000/platform/analytics-and-observability#traces</x:v>
      </x:c>
    </x:row>
    <x:row r="241" ht="51" customHeight="1">
      <x:c r="A241" s="10" t="str">
        <x:v>P14-06</x:v>
      </x:c>
      <x:c r="B241" s="10" t="str">
        <x:v>Analytics and Observability</x:v>
      </x:c>
      <x:c r="C241" s="10" t="str">
        <x:v>Feature card</x:v>
      </x:c>
      <x:c r="D241" s="10" t="str">
        <x:v>Bring technical signals into the investigation.</x:v>
      </x:c>
      <x:c r="E241" s="10" t="str">
        <x:v>A101</x:v>
      </x:c>
      <x:c r="F241" s="10" t="str">
        <x:v>A searchable log view correlated to a selected workflow run and event timeline.</x:v>
      </x:c>
      <x:c r="G241" s="10" t="str">
        <x:v>Rework</x:v>
      </x:c>
      <x:c r="H241" s="10" t="str">
        <x:f>'Production assets'!F106</x:f>
        <x:v>Not started</x:v>
      </x:c>
      <x:c r="I241" s="10" t="str">
        <x:v>1200 x 1000 WebP crop of shared master</x:v>
      </x:c>
      <x:c r="J241" s="10" t="str">
        <x:v>Existing product image</x:v>
      </x:c>
      <x:c r="K241" s="10" t="str">
        <x:v>/brand/platform/analytics-and-observability/logs-innflow.png</x:v>
      </x:c>
      <x:c r="L241" s="10" t="str">
        <x:v>320 x 267</x:v>
      </x:c>
      <x:c r="M241" s="10" t="str">
        <x:v>Cream, peach, pink, blue</x:v>
      </x:c>
      <x:c r="N241" s="10" t="str">
        <x:v>Preserve the existing CSS gradient. Export foreground separately with transparent background. Keep key UI within the central 80%.</x:v>
      </x:c>
      <x:c r="O241" s="10" t="str">
        <x:v>http://localhost:3000/platform/analytics-and-observability#logs</x:v>
      </x:c>
    </x:row>
    <x:row r="242" ht="51" customHeight="1">
      <x:c r="A242" s="5" t="str">
        <x:v>P14-07</x:v>
      </x:c>
      <x:c r="B242" s="5" t="str">
        <x:v>Analytics and Observability</x:v>
      </x:c>
      <x:c r="C242" s="5" t="str">
        <x:v>Feature card</x:v>
      </x:c>
      <x:c r="D242" s="5" t="str">
        <x:v>Understand the resources behind the work.</x:v>
      </x:c>
      <x:c r="E242" s="5" t="str">
        <x:v>A102</x:v>
      </x:c>
      <x:c r="F242" s="5" t="str">
        <x:v>A resource breakdown by model and workflow with usage and cost categories.</x:v>
      </x:c>
      <x:c r="G242" s="5" t="str">
        <x:v>Rework</x:v>
      </x:c>
      <x:c r="H242" s="5" t="str">
        <x:f>'Production assets'!F107</x:f>
        <x:v>Not started</x:v>
      </x:c>
      <x:c r="I242" s="5" t="str">
        <x:v>1200 x 1000 WebP crop of shared master</x:v>
      </x:c>
      <x:c r="J242" s="5" t="str">
        <x:v>Existing product image</x:v>
      </x:c>
      <x:c r="K242" s="5" t="str">
        <x:v>/brand/platform/analytics-and-observability/costs.png</x:v>
      </x:c>
      <x:c r="L242" s="5" t="str">
        <x:v>320 x 267</x:v>
      </x:c>
      <x:c r="M242" s="5" t="str">
        <x:v>Cream, peach, pink, blue</x:v>
      </x:c>
      <x:c r="N242" s="5" t="str">
        <x:v>Preserve the existing CSS gradient. Export foreground separately with transparent background. Keep key UI within the central 80%.</x:v>
      </x:c>
      <x:c r="O242" s="5" t="str">
        <x:v>http://localhost:3000/platform/analytics-and-observability#costs</x:v>
      </x:c>
    </x:row>
    <x:row r="243" ht="51" customHeight="1">
      <x:c r="A243" s="10" t="str">
        <x:v>P14-08</x:v>
      </x:c>
      <x:c r="B243" s="10" t="str">
        <x:v>Analytics and Observability</x:v>
      </x:c>
      <x:c r="C243" s="10" t="str">
        <x:v>Feature card</x:v>
      </x:c>
      <x:c r="D243" s="10" t="str">
        <x:v>Track what changes after a correction.</x:v>
      </x:c>
      <x:c r="E243" s="10" t="str">
        <x:v>A103</x:v>
      </x:c>
      <x:c r="F243" s="10" t="str">
        <x:v>A version comparison showing reviewed outcomes before and after a correction.</x:v>
      </x:c>
      <x:c r="G243" s="10" t="str">
        <x:v>Rework</x:v>
      </x:c>
      <x:c r="H243" s="10" t="str">
        <x:f>'Production assets'!F108</x:f>
        <x:v>Not started</x:v>
      </x:c>
      <x:c r="I243" s="10" t="str">
        <x:v>1200 x 1000 WebP crop of shared master</x:v>
      </x:c>
      <x:c r="J243" s="10" t="str">
        <x:v>Existing product image</x:v>
      </x:c>
      <x:c r="K243" s="10" t="str">
        <x:v>/brand/platform/self-learning/hub-innflow.png</x:v>
      </x:c>
      <x:c r="L243" s="10" t="str">
        <x:v>320 x 267</x:v>
      </x:c>
      <x:c r="M243" s="10" t="str">
        <x:v>Cream, peach, pink, blue</x:v>
      </x:c>
      <x:c r="N243" s="10" t="str">
        <x:v>Preserve the existing CSS gradient. Export foreground separately with transparent background. Keep key UI within the central 80%.</x:v>
      </x:c>
      <x:c r="O243" s="10" t="str">
        <x:v>http://localhost:3000/platform/analytics-and-observability#learning</x:v>
      </x:c>
    </x:row>
    <x:row r="244" ht="51" customHeight="1">
      <x:c r="A244" s="5" t="str">
        <x:v>P14-09</x:v>
      </x:c>
      <x:c r="B244" s="5" t="str">
        <x:v>Analytics and Observability</x:v>
      </x:c>
      <x:c r="C244" s="5" t="str">
        <x:v>Feature card</x:v>
      </x:c>
      <x:c r="D244" s="5" t="str">
        <x:v>Review the whole team of agents.</x:v>
      </x:c>
      <x:c r="E244" s="5" t="str">
        <x:v>A104</x:v>
      </x:c>
      <x:c r="F244" s="5" t="str">
        <x:v>An agent fleet grid showing role, current status and tasks needing attention.</x:v>
      </x:c>
      <x:c r="G244" s="5" t="str">
        <x:v>Rework</x:v>
      </x:c>
      <x:c r="H244" s="5" t="str">
        <x:f>'Production assets'!F109</x:f>
        <x:v>Not started</x:v>
      </x:c>
      <x:c r="I244" s="5" t="str">
        <x:v>1200 x 1000 WebP crop of shared master</x:v>
      </x:c>
      <x:c r="J244" s="5" t="str">
        <x:v>Existing product image</x:v>
      </x:c>
      <x:c r="K244" s="5" t="str">
        <x:v>/brand/platform/analytics-and-observability/fleet-innflow.png</x:v>
      </x:c>
      <x:c r="L244" s="5" t="str">
        <x:v>320 x 267</x:v>
      </x:c>
      <x:c r="M244" s="5" t="str">
        <x:v>Cream, peach, pink, blue</x:v>
      </x:c>
      <x:c r="N244" s="5" t="str">
        <x:v>Preserve the existing CSS gradient. Export foreground separately with transparent background. Keep key UI within the central 80%.</x:v>
      </x:c>
      <x:c r="O244" s="5" t="str">
        <x:v>http://localhost:3000/platform/analytics-and-observability#fleet</x:v>
      </x:c>
    </x:row>
    <x:row r="245" ht="51" customHeight="1">
      <x:c r="A245" s="10" t="str">
        <x:v>P14-10</x:v>
      </x:c>
      <x:c r="B245" s="10" t="str">
        <x:v>Analytics and Observability</x:v>
      </x:c>
      <x:c r="C245" s="10" t="str">
        <x:v>Feature card</x:v>
      </x:c>
      <x:c r="D245" s="10" t="str">
        <x:v>Use operational data in your reporting.</x:v>
      </x:c>
      <x:c r="E245" s="10" t="str">
        <x:v>A105</x:v>
      </x:c>
      <x:c r="F245" s="10" t="str">
        <x:v>A reporting panel mapping selected operational metrics into a shareable dashboard.</x:v>
      </x:c>
      <x:c r="G245" s="10" t="str">
        <x:v>Rework</x:v>
      </x:c>
      <x:c r="H245" s="10" t="str">
        <x:f>'Production assets'!F110</x:f>
        <x:v>Not started</x:v>
      </x:c>
      <x:c r="I245" s="10" t="str">
        <x:v>1200 x 1000 WebP crop of shared master</x:v>
      </x:c>
      <x:c r="J245" s="10" t="str">
        <x:v>Existing product image</x:v>
      </x:c>
      <x:c r="K245" s="10" t="str">
        <x:v>/brand/platform/analytics-and-observability/metrics-innflow.png</x:v>
      </x:c>
      <x:c r="L245" s="10" t="str">
        <x:v>320 x 267</x:v>
      </x:c>
      <x:c r="M245" s="10" t="str">
        <x:v>Cream, peach, pink, blue</x:v>
      </x:c>
      <x:c r="N245" s="10" t="str">
        <x:v>Preserve the existing CSS gradient. Export foreground separately with transparent background. Keep key UI within the central 80%.</x:v>
      </x:c>
      <x:c r="O245" s="10" t="str">
        <x:v>http://localhost:3000/platform/analytics-and-observability#metrics</x:v>
      </x:c>
    </x:row>
    <x:row r="246" ht="51" customHeight="1">
      <x:c r="A246" s="5" t="str">
        <x:v>P14-11</x:v>
      </x:c>
      <x:c r="B246" s="5" t="str">
        <x:v>Analytics and Observability</x:v>
      </x:c>
      <x:c r="C246" s="5" t="str">
        <x:v>Feature detail</x:v>
      </x:c>
      <x:c r="D246" s="5" t="str">
        <x:v>See how the operation is moving.</x:v>
      </x:c>
      <x:c r="E246" s="5" t="str">
        <x:v>A098</x:v>
      </x:c>
      <x:c r="F246" s="5" t="str">
        <x:v>A workflow dashboard showing run volume, duration and a queue of exceptions.</x:v>
      </x:c>
      <x:c r="G246" s="5" t="str">
        <x:v>Rework</x:v>
      </x:c>
      <x:c r="H246" s="5" t="str">
        <x:f>'Production assets'!F103</x:f>
        <x:v>Not started</x:v>
      </x:c>
      <x:c r="I246" s="5" t="str">
        <x:v>Editable SVG/layers + 1200 x 1200 WebP</x:v>
      </x:c>
      <x:c r="J246" s="5" t="str">
        <x:v>Existing product image</x:v>
      </x:c>
      <x:c r="K246" s="5" t="str">
        <x:v>/brand/platform/analytics-and-observability/performance.png</x:v>
      </x:c>
      <x:c r="L246" s="5" t="str">
        <x:v>580 x 580</x:v>
      </x:c>
      <x:c r="M246" s="5" t="str">
        <x:v>Cream, peach, pink, blue</x:v>
      </x:c>
      <x:c r="N246" s="5" t="str">
        <x:v>Preserve the existing CSS gradient. Export foreground separately with transparent background. Keep key UI within the central 80%.</x:v>
      </x:c>
      <x:c r="O246" s="5" t="str">
        <x:v>http://localhost:3000/platform/analytics-and-observability#performance</x:v>
      </x:c>
    </x:row>
    <x:row r="247" ht="51" customHeight="1">
      <x:c r="A247" s="10" t="str">
        <x:v>P14-12</x:v>
      </x:c>
      <x:c r="B247" s="10" t="str">
        <x:v>Analytics and Observability</x:v>
      </x:c>
      <x:c r="C247" s="10" t="str">
        <x:v>Feature detail</x:v>
      </x:c>
      <x:c r="D247" s="10" t="str">
        <x:v>Find the source of an incorrect result.</x:v>
      </x:c>
      <x:c r="E247" s="10" t="str">
        <x:v>A099</x:v>
      </x:c>
      <x:c r="F247" s="10" t="str">
        <x:v>A result investigation drilling down to a flagged field and its original source.</x:v>
      </x:c>
      <x:c r="G247" s="10" t="str">
        <x:v>Rework</x:v>
      </x:c>
      <x:c r="H247" s="10" t="str">
        <x:f>'Production assets'!F104</x:f>
        <x:v>Not started</x:v>
      </x:c>
      <x:c r="I247" s="10" t="str">
        <x:v>Editable SVG/layers + 1200 x 1200 WebP</x:v>
      </x:c>
      <x:c r="J247" s="10" t="str">
        <x:v>Existing product image</x:v>
      </x:c>
      <x:c r="K247" s="10" t="str">
        <x:v>/brand/platform/analytics-and-observability/accuracy.png</x:v>
      </x:c>
      <x:c r="L247" s="10" t="str">
        <x:v>532 x 532</x:v>
      </x:c>
      <x:c r="M247" s="10" t="str">
        <x:v>Cream, peach, pink, blue</x:v>
      </x:c>
      <x:c r="N247" s="10" t="str">
        <x:v>Preserve the existing CSS gradient. Export foreground separately with transparent background. Keep key UI within the central 80%.</x:v>
      </x:c>
      <x:c r="O247" s="10" t="str">
        <x:v>http://localhost:3000/platform/analytics-and-observability#accuracy</x:v>
      </x:c>
    </x:row>
    <x:row r="248" ht="51" customHeight="1">
      <x:c r="A248" s="5" t="str">
        <x:v>P14-13</x:v>
      </x:c>
      <x:c r="B248" s="5" t="str">
        <x:v>Analytics and Observability</x:v>
      </x:c>
      <x:c r="C248" s="5" t="str">
        <x:v>Feature detail</x:v>
      </x:c>
      <x:c r="D248" s="5" t="str">
        <x:v>Follow the full sequence.</x:v>
      </x:c>
      <x:c r="E248" s="5" t="str">
        <x:v>A100</x:v>
      </x:c>
      <x:c r="F248" s="5" t="str">
        <x:v>An execution trace with ordered agent and tool spans and one expanded handoff.</x:v>
      </x:c>
      <x:c r="G248" s="5" t="str">
        <x:v>Rework</x:v>
      </x:c>
      <x:c r="H248" s="5" t="str">
        <x:f>'Production assets'!F105</x:f>
        <x:v>Not started</x:v>
      </x:c>
      <x:c r="I248" s="5" t="str">
        <x:v>Editable SVG/layers + 1200 x 1200 WebP</x:v>
      </x:c>
      <x:c r="J248" s="5" t="str">
        <x:v>Existing product image</x:v>
      </x:c>
      <x:c r="K248" s="5" t="str">
        <x:v>/brand/platform/analytics-and-observability/traces-innflow.png</x:v>
      </x:c>
      <x:c r="L248" s="5" t="str">
        <x:v>580 x 580</x:v>
      </x:c>
      <x:c r="M248" s="5" t="str">
        <x:v>Cream, peach, pink, blue</x:v>
      </x:c>
      <x:c r="N248" s="5" t="str">
        <x:v>Preserve the existing CSS gradient. Export foreground separately with transparent background. Keep key UI within the central 80%.</x:v>
      </x:c>
      <x:c r="O248" s="5" t="str">
        <x:v>http://localhost:3000/platform/analytics-and-observability#traces</x:v>
      </x:c>
    </x:row>
    <x:row r="249" ht="51" customHeight="1">
      <x:c r="A249" s="10" t="str">
        <x:v>P14-14</x:v>
      </x:c>
      <x:c r="B249" s="10" t="str">
        <x:v>Analytics and Observability</x:v>
      </x:c>
      <x:c r="C249" s="10" t="str">
        <x:v>Feature detail</x:v>
      </x:c>
      <x:c r="D249" s="10" t="str">
        <x:v>Bring technical signals into the investigation.</x:v>
      </x:c>
      <x:c r="E249" s="10" t="str">
        <x:v>A101</x:v>
      </x:c>
      <x:c r="F249" s="10" t="str">
        <x:v>A searchable log view correlated to a selected workflow run and event timeline.</x:v>
      </x:c>
      <x:c r="G249" s="10" t="str">
        <x:v>Rework</x:v>
      </x:c>
      <x:c r="H249" s="10" t="str">
        <x:f>'Production assets'!F106</x:f>
        <x:v>Not started</x:v>
      </x:c>
      <x:c r="I249" s="10" t="str">
        <x:v>Editable SVG/layers + 1200 x 1200 WebP</x:v>
      </x:c>
      <x:c r="J249" s="10" t="str">
        <x:v>Existing product image</x:v>
      </x:c>
      <x:c r="K249" s="10" t="str">
        <x:v>/brand/platform/analytics-and-observability/logs-innflow.png</x:v>
      </x:c>
      <x:c r="L249" s="10" t="str">
        <x:v>532 x 532</x:v>
      </x:c>
      <x:c r="M249" s="10" t="str">
        <x:v>Cream, peach, pink, blue</x:v>
      </x:c>
      <x:c r="N249" s="10" t="str">
        <x:v>Preserve the existing CSS gradient. Export foreground separately with transparent background. Keep key UI within the central 80%.</x:v>
      </x:c>
      <x:c r="O249" s="10" t="str">
        <x:v>http://localhost:3000/platform/analytics-and-observability#logs</x:v>
      </x:c>
    </x:row>
    <x:row r="250" ht="51" customHeight="1">
      <x:c r="A250" s="5" t="str">
        <x:v>P14-15</x:v>
      </x:c>
      <x:c r="B250" s="5" t="str">
        <x:v>Analytics and Observability</x:v>
      </x:c>
      <x:c r="C250" s="5" t="str">
        <x:v>Feature detail</x:v>
      </x:c>
      <x:c r="D250" s="5" t="str">
        <x:v>Understand the resources behind the work.</x:v>
      </x:c>
      <x:c r="E250" s="5" t="str">
        <x:v>A102</x:v>
      </x:c>
      <x:c r="F250" s="5" t="str">
        <x:v>A resource breakdown by model and workflow with usage and cost categories.</x:v>
      </x:c>
      <x:c r="G250" s="5" t="str">
        <x:v>Rework</x:v>
      </x:c>
      <x:c r="H250" s="5" t="str">
        <x:f>'Production assets'!F107</x:f>
        <x:v>Not started</x:v>
      </x:c>
      <x:c r="I250" s="5" t="str">
        <x:v>Editable SVG/layers + 1200 x 1200 WebP</x:v>
      </x:c>
      <x:c r="J250" s="5" t="str">
        <x:v>Existing product image</x:v>
      </x:c>
      <x:c r="K250" s="5" t="str">
        <x:v>/brand/platform/analytics-and-observability/costs.png</x:v>
      </x:c>
      <x:c r="L250" s="5" t="str">
        <x:v>580 x 580</x:v>
      </x:c>
      <x:c r="M250" s="5" t="str">
        <x:v>Cream, peach, pink, blue</x:v>
      </x:c>
      <x:c r="N250" s="5" t="str">
        <x:v>Preserve the existing CSS gradient. Export foreground separately with transparent background. Keep key UI within the central 80%.</x:v>
      </x:c>
      <x:c r="O250" s="5" t="str">
        <x:v>http://localhost:3000/platform/analytics-and-observability#costs</x:v>
      </x:c>
    </x:row>
    <x:row r="251" ht="51" customHeight="1">
      <x:c r="A251" s="10" t="str">
        <x:v>P14-16</x:v>
      </x:c>
      <x:c r="B251" s="10" t="str">
        <x:v>Analytics and Observability</x:v>
      </x:c>
      <x:c r="C251" s="10" t="str">
        <x:v>Feature detail</x:v>
      </x:c>
      <x:c r="D251" s="10" t="str">
        <x:v>Track what changes after a correction.</x:v>
      </x:c>
      <x:c r="E251" s="10" t="str">
        <x:v>A103</x:v>
      </x:c>
      <x:c r="F251" s="10" t="str">
        <x:v>A version comparison showing reviewed outcomes before and after a correction.</x:v>
      </x:c>
      <x:c r="G251" s="10" t="str">
        <x:v>Rework</x:v>
      </x:c>
      <x:c r="H251" s="10" t="str">
        <x:f>'Production assets'!F108</x:f>
        <x:v>Not started</x:v>
      </x:c>
      <x:c r="I251" s="10" t="str">
        <x:v>Editable SVG/layers + 1200 x 1200 WebP</x:v>
      </x:c>
      <x:c r="J251" s="10" t="str">
        <x:v>Existing product image</x:v>
      </x:c>
      <x:c r="K251" s="10" t="str">
        <x:v>/brand/platform/self-learning/hub-innflow.png</x:v>
      </x:c>
      <x:c r="L251" s="10" t="str">
        <x:v>532 x 532</x:v>
      </x:c>
      <x:c r="M251" s="10" t="str">
        <x:v>Cream, peach, pink, blue</x:v>
      </x:c>
      <x:c r="N251" s="10" t="str">
        <x:v>Preserve the existing CSS gradient. Export foreground separately with transparent background. Keep key UI within the central 80%.</x:v>
      </x:c>
      <x:c r="O251" s="10" t="str">
        <x:v>http://localhost:3000/platform/analytics-and-observability#learning</x:v>
      </x:c>
    </x:row>
    <x:row r="252" ht="51" customHeight="1">
      <x:c r="A252" s="5" t="str">
        <x:v>P14-17</x:v>
      </x:c>
      <x:c r="B252" s="5" t="str">
        <x:v>Analytics and Observability</x:v>
      </x:c>
      <x:c r="C252" s="5" t="str">
        <x:v>Feature detail</x:v>
      </x:c>
      <x:c r="D252" s="5" t="str">
        <x:v>Review the whole team of agents.</x:v>
      </x:c>
      <x:c r="E252" s="5" t="str">
        <x:v>A104</x:v>
      </x:c>
      <x:c r="F252" s="5" t="str">
        <x:v>An agent fleet grid showing role, current status and tasks needing attention.</x:v>
      </x:c>
      <x:c r="G252" s="5" t="str">
        <x:v>Rework</x:v>
      </x:c>
      <x:c r="H252" s="5" t="str">
        <x:f>'Production assets'!F109</x:f>
        <x:v>Not started</x:v>
      </x:c>
      <x:c r="I252" s="5" t="str">
        <x:v>Editable SVG/layers + 1200 x 1200 WebP</x:v>
      </x:c>
      <x:c r="J252" s="5" t="str">
        <x:v>Existing product image</x:v>
      </x:c>
      <x:c r="K252" s="5" t="str">
        <x:v>/brand/platform/analytics-and-observability/fleet-innflow.png</x:v>
      </x:c>
      <x:c r="L252" s="5" t="str">
        <x:v>580 x 580</x:v>
      </x:c>
      <x:c r="M252" s="5" t="str">
        <x:v>Cream, peach, pink, blue</x:v>
      </x:c>
      <x:c r="N252" s="5" t="str">
        <x:v>Preserve the existing CSS gradient. Export foreground separately with transparent background. Keep key UI within the central 80%.</x:v>
      </x:c>
      <x:c r="O252" s="5" t="str">
        <x:v>http://localhost:3000/platform/analytics-and-observability#fleet</x:v>
      </x:c>
    </x:row>
    <x:row r="253" ht="51" customHeight="1">
      <x:c r="A253" s="10" t="str">
        <x:v>P14-18</x:v>
      </x:c>
      <x:c r="B253" s="10" t="str">
        <x:v>Analytics and Observability</x:v>
      </x:c>
      <x:c r="C253" s="10" t="str">
        <x:v>Feature detail</x:v>
      </x:c>
      <x:c r="D253" s="10" t="str">
        <x:v>Use operational data in your reporting.</x:v>
      </x:c>
      <x:c r="E253" s="10" t="str">
        <x:v>A105</x:v>
      </x:c>
      <x:c r="F253" s="10" t="str">
        <x:v>A reporting panel mapping selected operational metrics into a shareable dashboard.</x:v>
      </x:c>
      <x:c r="G253" s="10" t="str">
        <x:v>Rework</x:v>
      </x:c>
      <x:c r="H253" s="10" t="str">
        <x:f>'Production assets'!F110</x:f>
        <x:v>Not started</x:v>
      </x:c>
      <x:c r="I253" s="10" t="str">
        <x:v>Editable SVG/layers + 1200 x 1200 WebP</x:v>
      </x:c>
      <x:c r="J253" s="10" t="str">
        <x:v>Existing product image</x:v>
      </x:c>
      <x:c r="K253" s="10" t="str">
        <x:v>/brand/platform/analytics-and-observability/metrics-innflow.png</x:v>
      </x:c>
      <x:c r="L253" s="10" t="str">
        <x:v>532 x 532</x:v>
      </x:c>
      <x:c r="M253" s="10" t="str">
        <x:v>Cream, peach, pink, blue</x:v>
      </x:c>
      <x:c r="N253" s="10" t="str">
        <x:v>Preserve the existing CSS gradient. Export foreground separately with transparent background. Keep key UI within the central 80%.</x:v>
      </x:c>
      <x:c r="O253" s="10" t="str">
        <x:v>http://localhost:3000/platform/analytics-and-observability#metrics</x:v>
      </x:c>
    </x:row>
    <x:row r="254" ht="38" customHeight="1">
      <x:c r="A254" s="5" t="str">
        <x:v>P14-19</x:v>
      </x:c>
      <x:c r="B254" s="5" t="str">
        <x:v>Analytics and Observability</x:v>
      </x:c>
      <x:c r="C254" s="5" t="str">
        <x:v>Related product thumbnail</x:v>
      </x:c>
      <x:c r="D254" s="5" t="str">
        <x:v>Platform</x:v>
      </x:c>
      <x:c r="E254" s="5" t="str">
        <x:v>A015</x:v>
      </x:c>
      <x:c r="F254" s="5" t="str">
        <x:v>A compact workspace overview linking agents, tools and shared knowledge.</x:v>
      </x:c>
      <x:c r="G254" s="5" t="str">
        <x:v>Create</x:v>
      </x:c>
      <x:c r="H254" s="5" t="str">
        <x:f>'Production assets'!F20</x:f>
        <x:v>Not started</x:v>
      </x:c>
      <x:c r="I254" s="5" t="str">
        <x:v>Editable SVG + 1200 x 1000 WebP</x:v>
      </x:c>
      <x:c r="J254" s="5" t="str">
        <x:v>Generic star on gradient</x:v>
      </x:c>
      <x:c r="K254" s="5" t="str">
        <x:v>/brand/calendly/assistant-hero.svg + star glyph</x:v>
      </x:c>
      <x:c r="L254" s="5" t="str">
        <x:v>227 x 189</x:v>
      </x:c>
      <x:c r="M254" s="5" t="str">
        <x:v>Ice blue, white, teal, deep green</x:v>
      </x:c>
      <x:c r="N254" s="5" t="str">
        <x:v>Create once and reuse across related-product cards and the Platform card rail. Keep the gradient separate.</x:v>
      </x:c>
      <x:c r="O254" s="5" t="str">
        <x:v>http://localhost:3000/platform/analytics-and-observability</x:v>
      </x:c>
    </x:row>
    <x:row r="255" ht="38" customHeight="1">
      <x:c r="A255" s="10" t="str">
        <x:v>P14-20</x:v>
      </x:c>
      <x:c r="B255" s="10" t="str">
        <x:v>Analytics and Observability</x:v>
      </x:c>
      <x:c r="C255" s="10" t="str">
        <x:v>Related product thumbnail</x:v>
      </x:c>
      <x:c r="D255" s="10" t="str">
        <x:v>Integrations</x:v>
      </x:c>
      <x:c r="E255" s="10" t="str">
        <x:v>A006</x:v>
      </x:c>
      <x:c r="F255" s="10" t="str">
        <x:v>A central Innflow node connected to a small set of tool tiles.</x:v>
      </x:c>
      <x:c r="G255" s="10" t="str">
        <x:v>Create</x:v>
      </x:c>
      <x:c r="H255" s="10" t="str">
        <x:f>'Production assets'!F11</x:f>
        <x:v>Not started</x:v>
      </x:c>
      <x:c r="I255" s="10" t="str">
        <x:v>Editable SVG + 1200 x 1000 WebP</x:v>
      </x:c>
      <x:c r="J255" s="10" t="str">
        <x:v>Generic star on gradient</x:v>
      </x:c>
      <x:c r="K255" s="10" t="str">
        <x:v>/brand/calendly/scheduling-hero.svg + star glyph</x:v>
      </x:c>
      <x:c r="L255" s="10" t="str">
        <x:v>227 x 189</x:v>
      </x:c>
      <x:c r="M255" s="10" t="str">
        <x:v>Sky blue, pale aqua, navy</x:v>
      </x:c>
      <x:c r="N255" s="10" t="str">
        <x:v>Create once and reuse across related-product cards and the Platform card rail. Keep the gradient separate.</x:v>
      </x:c>
      <x:c r="O255" s="10" t="str">
        <x:v>http://localhost:3000/platform/analytics-and-observability</x:v>
      </x:c>
    </x:row>
    <x:row r="256" ht="38" customHeight="1">
      <x:c r="A256" s="5" t="str">
        <x:v>P14-21</x:v>
      </x:c>
      <x:c r="B256" s="5" t="str">
        <x:v>Analytics and Observability</x:v>
      </x:c>
      <x:c r="C256" s="5" t="str">
        <x:v>Related product thumbnail</x:v>
      </x:c>
      <x:c r="D256" s="5" t="str">
        <x:v>Agentic Workflows</x:v>
      </x:c>
      <x:c r="E256" s="5" t="str">
        <x:v>A010</x:v>
      </x:c>
      <x:c r="F256" s="5" t="str">
        <x:v>A compact workflow canvas with trigger, branch and action nodes.</x:v>
      </x:c>
      <x:c r="G256" s="5" t="str">
        <x:v>Create</x:v>
      </x:c>
      <x:c r="H256" s="5" t="str">
        <x:f>'Production assets'!F15</x:f>
        <x:v>Not started</x:v>
      </x:c>
      <x:c r="I256" s="5" t="str">
        <x:v>Editable SVG + 1200 x 1000 WebP</x:v>
      </x:c>
      <x:c r="J256" s="5" t="str">
        <x:v>Generic star on gradient</x:v>
      </x:c>
      <x:c r="K256" s="5" t="str">
        <x:v>/brand/calendly/notetaker-hero.svg + star glyph</x:v>
      </x:c>
      <x:c r="L256" s="5" t="str">
        <x:v>227 x 189</x:v>
      </x:c>
      <x:c r="M256" s="5" t="str">
        <x:v>Navy, blue, blush, lavender</x:v>
      </x:c>
      <x:c r="N256" s="5" t="str">
        <x:v>Create once and reuse across related-product cards and the Platform card rail. Keep the gradient separate.</x:v>
      </x:c>
      <x:c r="O256" s="5" t="str">
        <x:v>http://localhost:3000/platform/analytics-and-observability</x:v>
      </x:c>
    </x:row>
    <x:row r="257" ht="38" customHeight="1">
      <x:c r="A257" s="10" t="str">
        <x:v>P14-22</x:v>
      </x:c>
      <x:c r="B257" s="10" t="str">
        <x:v>Analytics and Observability</x:v>
      </x:c>
      <x:c r="C257" s="10" t="str">
        <x:v>Related product thumbnail</x:v>
      </x:c>
      <x:c r="D257" s="10" t="str">
        <x:v>Agent OS</x:v>
      </x:c>
      <x:c r="E257" s="10" t="str">
        <x:v>A011</x:v>
      </x:c>
      <x:c r="F257" s="10" t="str">
        <x:v>A small orchestration graph connecting agents and shared memory.</x:v>
      </x:c>
      <x:c r="G257" s="10" t="str">
        <x:v>Create</x:v>
      </x:c>
      <x:c r="H257" s="10" t="str">
        <x:f>'Production assets'!F16</x:f>
        <x:v>Not started</x:v>
      </x:c>
      <x:c r="I257" s="10" t="str">
        <x:v>Editable SVG + 1200 x 1000 WebP</x:v>
      </x:c>
      <x:c r="J257" s="10" t="str">
        <x:v>Generic star on gradient</x:v>
      </x:c>
      <x:c r="K257" s="10" t="str">
        <x:v>/brand/calendly/contacts-hero.svg + star glyph</x:v>
      </x:c>
      <x:c r="L257" s="10" t="str">
        <x:v>227 x 189</x:v>
      </x:c>
      <x:c r="M257" s="10" t="str">
        <x:v>Cream, peach, pink, blue</x:v>
      </x:c>
      <x:c r="N257" s="10" t="str">
        <x:v>Create once and reuse across related-product cards and the Platform card rail. Keep the gradient separate.</x:v>
      </x:c>
      <x:c r="O257" s="10" t="str">
        <x:v>http://localhost:3000/platform/analytics-and-observability</x:v>
      </x:c>
    </x:row>
    <x:row r="258" ht="38" customHeight="1">
      <x:c r="A258" s="5" t="str">
        <x:v>P14-23</x:v>
      </x:c>
      <x:c r="B258" s="5" t="str">
        <x:v>Analytics and Observability</x:v>
      </x:c>
      <x:c r="C258" s="5" t="str">
        <x:v>Related product thumbnail</x:v>
      </x:c>
      <x:c r="D258" s="5" t="str">
        <x:v>AI Agents</x:v>
      </x:c>
      <x:c r="E258" s="5" t="str">
        <x:v>A012</x:v>
      </x:c>
      <x:c r="F258" s="5" t="str">
        <x:v>An agent task card with linked evidence and a proposed next action.</x:v>
      </x:c>
      <x:c r="G258" s="5" t="str">
        <x:v>Create</x:v>
      </x:c>
      <x:c r="H258" s="5" t="str">
        <x:f>'Production assets'!F17</x:f>
        <x:v>Not started</x:v>
      </x:c>
      <x:c r="I258" s="5" t="str">
        <x:v>Editable SVG + 1200 x 1000 WebP</x:v>
      </x:c>
      <x:c r="J258" s="5" t="str">
        <x:v>Generic star on gradient</x:v>
      </x:c>
      <x:c r="K258" s="5" t="str">
        <x:v>/brand/calendly/payments-hero.svg + star glyph</x:v>
      </x:c>
      <x:c r="L258" s="5" t="str">
        <x:v>227 x 189</x:v>
      </x:c>
      <x:c r="M258" s="5" t="str">
        <x:v>Pale mint, aqua, blue, navy</x:v>
      </x:c>
      <x:c r="N258" s="5" t="str">
        <x:v>Create once and reuse across related-product cards and the Platform card rail. Keep the gradient separate.</x:v>
      </x:c>
      <x:c r="O258" s="5" t="str">
        <x:v>http://localhost:3000/platform/analytics-and-observability</x:v>
      </x:c>
    </x:row>
    <x:row r="259" ht="38" customHeight="1">
      <x:c r="A259" s="10" t="str">
        <x:v>P15-01</x:v>
      </x:c>
      <x:c r="B259" s="10" t="str">
        <x:v>Deployment Options</x:v>
      </x:c>
      <x:c r="C259" s="10" t="str">
        <x:v>Hero background</x:v>
      </x:c>
      <x:c r="D259" s="10" t="str">
        <x:v>Plan where and how your agents run.</x:v>
      </x:c>
      <x:c r="E259" s="10" t="str">
        <x:v>A034</x:v>
      </x:c>
      <x:c r="F259" s="10" t="str">
        <x:v>Reuse the existing Paper SVG as a separate background layer. No new background required.</x:v>
      </x:c>
      <x:c r="G259" s="10" t="str">
        <x:v>Reuse</x:v>
      </x:c>
      <x:c r="H259" s="10" t="str">
        <x:f>'Production assets'!F39</x:f>
        <x:v>Existing</x:v>
      </x:c>
      <x:c r="I259" s="10" t="str">
        <x:v>Existing scalable SVG</x:v>
      </x:c>
      <x:c r="J259" s="10" t="str">
        <x:v>Existing background</x:v>
      </x:c>
      <x:c r="K259" s="10" t="str">
        <x:v>/brand/calendly/payments-hero.svg</x:v>
      </x:c>
      <x:c r="L259" s="10" t="str">
        <x:v>1387 x 776</x:v>
      </x:c>
      <x:c r="M259" s="10" t="str">
        <x:v>Pale mint, aqua, blue, navy</x:v>
      </x:c>
      <x:c r="N259" s="10" t="str">
        <x:v>Shared by every page using this style.</x:v>
      </x:c>
      <x:c r="O259" s="10" t="str">
        <x:v>http://localhost:3000/platform/deployment-options</x:v>
      </x:c>
    </x:row>
    <x:row r="260" ht="51" customHeight="1">
      <x:c r="A260" s="5" t="str">
        <x:v>P15-02</x:v>
      </x:c>
      <x:c r="B260" s="5" t="str">
        <x:v>Deployment Options</x:v>
      </x:c>
      <x:c r="C260" s="5" t="str">
        <x:v>Capability overview</x:v>
      </x:c>
      <x:c r="D260" s="5" t="str">
        <x:v>Cloud deployment</x:v>
      </x:c>
      <x:c r="E260" s="5" t="str">
        <x:v>A106</x:v>
      </x:c>
      <x:c r="F260" s="5" t="str">
        <x:v>A hosted environment overview showing the application, managed services and team access boundary.</x:v>
      </x:c>
      <x:c r="G260" s="5" t="str">
        <x:v>Rework</x:v>
      </x:c>
      <x:c r="H260" s="5" t="str">
        <x:f>'Production assets'!F111</x:f>
        <x:v>Not started</x:v>
      </x:c>
      <x:c r="I260" s="5" t="str">
        <x:v>Editable SVG/layers + 1200 x 1200 WebP</x:v>
      </x:c>
      <x:c r="J260" s="5" t="str">
        <x:v>Existing product image</x:v>
      </x:c>
      <x:c r="K260" s="5" t="str">
        <x:v>/brand/platform/deployment-options/cloud.jpg</x:v>
      </x:c>
      <x:c r="L260" s="5" t="str">
        <x:v>580 x 580</x:v>
      </x:c>
      <x:c r="M260" s="5" t="str">
        <x:v>Pale mint, aqua, blue, navy</x:v>
      </x:c>
      <x:c r="N260" s="5" t="str">
        <x:v>Preserve the existing CSS gradient. Export foreground separately with transparent background. Keep key UI within the central 80%. Reuses the first feature detail artwork.</x:v>
      </x:c>
      <x:c r="O260" s="5" t="str">
        <x:v>http://localhost:3000/platform/deployment-options#cloud</x:v>
      </x:c>
    </x:row>
    <x:row r="261" ht="51" customHeight="1">
      <x:c r="A261" s="10" t="str">
        <x:v>P15-03</x:v>
      </x:c>
      <x:c r="B261" s="10" t="str">
        <x:v>Deployment Options</x:v>
      </x:c>
      <x:c r="C261" s="10" t="str">
        <x:v>Feature card</x:v>
      </x:c>
      <x:c r="D261" s="10" t="str">
        <x:v>Start with the operational requirements.</x:v>
      </x:c>
      <x:c r="E261" s="10" t="str">
        <x:v>A106</x:v>
      </x:c>
      <x:c r="F261" s="10" t="str">
        <x:v>A hosted environment overview showing the application, managed services and team access boundary.</x:v>
      </x:c>
      <x:c r="G261" s="10" t="str">
        <x:v>Rework</x:v>
      </x:c>
      <x:c r="H261" s="10" t="str">
        <x:f>'Production assets'!F111</x:f>
        <x:v>Not started</x:v>
      </x:c>
      <x:c r="I261" s="10" t="str">
        <x:v>1200 x 1000 WebP crop of shared master</x:v>
      </x:c>
      <x:c r="J261" s="10" t="str">
        <x:v>Existing product image</x:v>
      </x:c>
      <x:c r="K261" s="10" t="str">
        <x:v>/brand/platform/deployment-options/cloud.jpg</x:v>
      </x:c>
      <x:c r="L261" s="10" t="str">
        <x:v>320 x 267</x:v>
      </x:c>
      <x:c r="M261" s="10" t="str">
        <x:v>Pale mint, aqua, blue, navy</x:v>
      </x:c>
      <x:c r="N261" s="10" t="str">
        <x:v>Preserve the existing CSS gradient. Export foreground separately with transparent background. Keep key UI within the central 80%.</x:v>
      </x:c>
      <x:c r="O261" s="10" t="str">
        <x:v>http://localhost:3000/platform/deployment-options#cloud</x:v>
      </x:c>
    </x:row>
    <x:row r="262" ht="51" customHeight="1">
      <x:c r="A262" s="5" t="str">
        <x:v>P15-04</x:v>
      </x:c>
      <x:c r="B262" s="5" t="str">
        <x:v>Deployment Options</x:v>
      </x:c>
      <x:c r="C262" s="5" t="str">
        <x:v>Feature card</x:v>
      </x:c>
      <x:c r="D262" s="5" t="str">
        <x:v>Define the boundaries of a dedicated setup.</x:v>
      </x:c>
      <x:c r="E262" s="5" t="str">
        <x:v>A107</x:v>
      </x:c>
      <x:c r="F262" s="5" t="str">
        <x:v>A dedicated environment architecture enclosed within a clearly labeled private boundary.</x:v>
      </x:c>
      <x:c r="G262" s="5" t="str">
        <x:v>Rework</x:v>
      </x:c>
      <x:c r="H262" s="5" t="str">
        <x:f>'Production assets'!F112</x:f>
        <x:v>Not started</x:v>
      </x:c>
      <x:c r="I262" s="5" t="str">
        <x:v>1200 x 1000 WebP crop of shared master</x:v>
      </x:c>
      <x:c r="J262" s="5" t="str">
        <x:v>Existing product image</x:v>
      </x:c>
      <x:c r="K262" s="5" t="str">
        <x:v>/brand/platform/deployment-options/private-innflow.png</x:v>
      </x:c>
      <x:c r="L262" s="5" t="str">
        <x:v>320 x 267</x:v>
      </x:c>
      <x:c r="M262" s="5" t="str">
        <x:v>Pale mint, aqua, blue, navy</x:v>
      </x:c>
      <x:c r="N262" s="5" t="str">
        <x:v>Preserve the existing CSS gradient. Export foreground separately with transparent background. Keep key UI within the central 80%.</x:v>
      </x:c>
      <x:c r="O262" s="5" t="str">
        <x:v>http://localhost:3000/platform/deployment-options#private</x:v>
      </x:c>
    </x:row>
    <x:row r="263" ht="51" customHeight="1">
      <x:c r="A263" s="10" t="str">
        <x:v>P15-05</x:v>
      </x:c>
      <x:c r="B263" s="10" t="str">
        <x:v>Deployment Options</x:v>
      </x:c>
      <x:c r="C263" s="10" t="str">
        <x:v>Feature card</x:v>
      </x:c>
      <x:c r="D263" s="10" t="str">
        <x:v>Map responsibilities within your environment.</x:v>
      </x:c>
      <x:c r="E263" s="10" t="str">
        <x:v>A108</x:v>
      </x:c>
      <x:c r="F263" s="10" t="str">
        <x:v>An on-premise architecture with infrastructure ownership and operational responsibilities labeled.</x:v>
      </x:c>
      <x:c r="G263" s="10" t="str">
        <x:v>Rework</x:v>
      </x:c>
      <x:c r="H263" s="10" t="str">
        <x:f>'Production assets'!F113</x:f>
        <x:v>Not started</x:v>
      </x:c>
      <x:c r="I263" s="10" t="str">
        <x:v>1200 x 1000 WebP crop of shared master</x:v>
      </x:c>
      <x:c r="J263" s="10" t="str">
        <x:v>Existing product image</x:v>
      </x:c>
      <x:c r="K263" s="10" t="str">
        <x:v>/brand/platform/deployment-options/on-premise-innflow.png</x:v>
      </x:c>
      <x:c r="L263" s="10" t="str">
        <x:v>320 x 267</x:v>
      </x:c>
      <x:c r="M263" s="10" t="str">
        <x:v>Pale mint, aqua, blue, navy</x:v>
      </x:c>
      <x:c r="N263" s="10" t="str">
        <x:v>Preserve the existing CSS gradient. Export foreground separately with transparent background. Keep key UI within the central 80%.</x:v>
      </x:c>
      <x:c r="O263" s="10" t="str">
        <x:v>http://localhost:3000/platform/deployment-options#on-premise</x:v>
      </x:c>
    </x:row>
    <x:row r="264" ht="51" customHeight="1">
      <x:c r="A264" s="5" t="str">
        <x:v>P15-06</x:v>
      </x:c>
      <x:c r="B264" s="5" t="str">
        <x:v>Deployment Options</x:v>
      </x:c>
      <x:c r="C264" s="5" t="str">
        <x:v>Feature card</x:v>
      </x:c>
      <x:c r="D264" s="5" t="str">
        <x:v>Choose model access deliberately.</x:v>
      </x:c>
      <x:c r="E264" s="5" t="str">
        <x:v>A109</x:v>
      </x:c>
      <x:c r="F264" s="5" t="str">
        <x:v>A model access chooser connecting approved providers to the deployment environment.</x:v>
      </x:c>
      <x:c r="G264" s="5" t="str">
        <x:v>Rework</x:v>
      </x:c>
      <x:c r="H264" s="5" t="str">
        <x:f>'Production assets'!F114</x:f>
        <x:v>Not started</x:v>
      </x:c>
      <x:c r="I264" s="5" t="str">
        <x:v>1200 x 1000 WebP crop of shared master</x:v>
      </x:c>
      <x:c r="J264" s="5" t="str">
        <x:v>Existing product image</x:v>
      </x:c>
      <x:c r="K264" s="5" t="str">
        <x:v>/brand/platform/deployment-options/models.jpg</x:v>
      </x:c>
      <x:c r="L264" s="5" t="str">
        <x:v>320 x 267</x:v>
      </x:c>
      <x:c r="M264" s="5" t="str">
        <x:v>Pale mint, aqua, blue, navy</x:v>
      </x:c>
      <x:c r="N264" s="5" t="str">
        <x:v>Preserve the existing CSS gradient. Export foreground separately with transparent background. Keep key UI within the central 80%.</x:v>
      </x:c>
      <x:c r="O264" s="5" t="str">
        <x:v>http://localhost:3000/platform/deployment-options#models</x:v>
      </x:c>
    </x:row>
    <x:row r="265" ht="51" customHeight="1">
      <x:c r="A265" s="10" t="str">
        <x:v>P15-07</x:v>
      </x:c>
      <x:c r="B265" s="10" t="str">
        <x:v>Deployment Options</x:v>
      </x:c>
      <x:c r="C265" s="10" t="str">
        <x:v>Feature card</x:v>
      </x:c>
      <x:c r="D265" s="10" t="str">
        <x:v>Account for where data needs to stay.</x:v>
      </x:c>
      <x:c r="E265" s="10" t="str">
        <x:v>A110</x:v>
      </x:c>
      <x:c r="F265" s="10" t="str">
        <x:v>A regional deployment map with a selected data location and defined storage boundary.</x:v>
      </x:c>
      <x:c r="G265" s="10" t="str">
        <x:v>Rework</x:v>
      </x:c>
      <x:c r="H265" s="10" t="str">
        <x:f>'Production assets'!F115</x:f>
        <x:v>Not started</x:v>
      </x:c>
      <x:c r="I265" s="10" t="str">
        <x:v>1200 x 1000 WebP crop of shared master</x:v>
      </x:c>
      <x:c r="J265" s="10" t="str">
        <x:v>Existing product image</x:v>
      </x:c>
      <x:c r="K265" s="10" t="str">
        <x:v>/brand/platform/deployment-options/regions.jpg</x:v>
      </x:c>
      <x:c r="L265" s="10" t="str">
        <x:v>320 x 267</x:v>
      </x:c>
      <x:c r="M265" s="10" t="str">
        <x:v>Pale mint, aqua, blue, navy</x:v>
      </x:c>
      <x:c r="N265" s="10" t="str">
        <x:v>Preserve the existing CSS gradient. Export foreground separately with transparent background. Keep key UI within the central 80%.</x:v>
      </x:c>
      <x:c r="O265" s="10" t="str">
        <x:v>http://localhost:3000/platform/deployment-options#regions</x:v>
      </x:c>
    </x:row>
    <x:row r="266" ht="51" customHeight="1">
      <x:c r="A266" s="5" t="str">
        <x:v>P15-08</x:v>
      </x:c>
      <x:c r="B266" s="5" t="str">
        <x:v>Deployment Options</x:v>
      </x:c>
      <x:c r="C266" s="5" t="str">
        <x:v>Feature card</x:v>
      </x:c>
      <x:c r="D266" s="5" t="str">
        <x:v>Prepare for a change of environment.</x:v>
      </x:c>
      <x:c r="E266" s="5" t="str">
        <x:v>A111</x:v>
      </x:c>
      <x:c r="F266" s="5" t="str">
        <x:v>A staged migration path from source environment through validation to the destination.</x:v>
      </x:c>
      <x:c r="G266" s="5" t="str">
        <x:v>Rework</x:v>
      </x:c>
      <x:c r="H266" s="5" t="str">
        <x:f>'Production assets'!F116</x:f>
        <x:v>Not started</x:v>
      </x:c>
      <x:c r="I266" s="5" t="str">
        <x:v>1200 x 1000 WebP crop of shared master</x:v>
      </x:c>
      <x:c r="J266" s="5" t="str">
        <x:v>Existing product image</x:v>
      </x:c>
      <x:c r="K266" s="5" t="str">
        <x:v>/brand/platform/deployment-options/migration-innflow.png</x:v>
      </x:c>
      <x:c r="L266" s="5" t="str">
        <x:v>320 x 267</x:v>
      </x:c>
      <x:c r="M266" s="5" t="str">
        <x:v>Pale mint, aqua, blue, navy</x:v>
      </x:c>
      <x:c r="N266" s="5" t="str">
        <x:v>Preserve the existing CSS gradient. Export foreground separately with transparent background. Keep key UI within the central 80%.</x:v>
      </x:c>
      <x:c r="O266" s="5" t="str">
        <x:v>http://localhost:3000/platform/deployment-options#migration</x:v>
      </x:c>
    </x:row>
    <x:row r="267" ht="51" customHeight="1">
      <x:c r="A267" s="10" t="str">
        <x:v>P15-09</x:v>
      </x:c>
      <x:c r="B267" s="10" t="str">
        <x:v>Deployment Options</x:v>
      </x:c>
      <x:c r="C267" s="10" t="str">
        <x:v>Feature card</x:v>
      </x:c>
      <x:c r="D267" s="10" t="str">
        <x:v>Agree on the controls the environment needs.</x:v>
      </x:c>
      <x:c r="E267" s="10" t="str">
        <x:v>A112</x:v>
      </x:c>
      <x:c r="F267" s="10" t="str">
        <x:v>An environment policy panel with roles, access boundaries and review controls.</x:v>
      </x:c>
      <x:c r="G267" s="10" t="str">
        <x:v>Rework</x:v>
      </x:c>
      <x:c r="H267" s="10" t="str">
        <x:f>'Production assets'!F117</x:f>
        <x:v>Not started</x:v>
      </x:c>
      <x:c r="I267" s="10" t="str">
        <x:v>1200 x 1000 WebP crop of shared master</x:v>
      </x:c>
      <x:c r="J267" s="10" t="str">
        <x:v>Existing product image</x:v>
      </x:c>
      <x:c r="K267" s="10" t="str">
        <x:v>/brand/platform/deployment-options/governance.jpg</x:v>
      </x:c>
      <x:c r="L267" s="10" t="str">
        <x:v>320 x 267</x:v>
      </x:c>
      <x:c r="M267" s="10" t="str">
        <x:v>Pale mint, aqua, blue, navy</x:v>
      </x:c>
      <x:c r="N267" s="10" t="str">
        <x:v>Preserve the existing CSS gradient. Export foreground separately with transparent background. Keep key UI within the central 80%.</x:v>
      </x:c>
      <x:c r="O267" s="10" t="str">
        <x:v>http://localhost:3000/platform/deployment-options#governance</x:v>
      </x:c>
    </x:row>
    <x:row r="268" ht="51" customHeight="1">
      <x:c r="A268" s="5" t="str">
        <x:v>P15-10</x:v>
      </x:c>
      <x:c r="B268" s="5" t="str">
        <x:v>Deployment Options</x:v>
      </x:c>
      <x:c r="C268" s="5" t="str">
        <x:v>Feature card</x:v>
      </x:c>
      <x:c r="D268" s="5" t="str">
        <x:v>Bring the right people into the rollout.</x:v>
      </x:c>
      <x:c r="E268" s="5" t="str">
        <x:v>A113</x:v>
      </x:c>
      <x:c r="F268" s="5" t="str">
        <x:v>A rollout checklist assigning infrastructure, security and operational tasks to team owners.</x:v>
      </x:c>
      <x:c r="G268" s="5" t="str">
        <x:v>Rework</x:v>
      </x:c>
      <x:c r="H268" s="5" t="str">
        <x:f>'Production assets'!F118</x:f>
        <x:v>Not started</x:v>
      </x:c>
      <x:c r="I268" s="5" t="str">
        <x:v>1200 x 1000 WebP crop of shared master</x:v>
      </x:c>
      <x:c r="J268" s="5" t="str">
        <x:v>Existing product image</x:v>
      </x:c>
      <x:c r="K268" s="5" t="str">
        <x:v>/brand/platform/deployment-options/support-innflow.png</x:v>
      </x:c>
      <x:c r="L268" s="5" t="str">
        <x:v>320 x 267</x:v>
      </x:c>
      <x:c r="M268" s="5" t="str">
        <x:v>Pale mint, aqua, blue, navy</x:v>
      </x:c>
      <x:c r="N268" s="5" t="str">
        <x:v>Preserve the existing CSS gradient. Export foreground separately with transparent background. Keep key UI within the central 80%.</x:v>
      </x:c>
      <x:c r="O268" s="5" t="str">
        <x:v>http://localhost:3000/platform/deployment-options#support</x:v>
      </x:c>
    </x:row>
    <x:row r="269" ht="51" customHeight="1">
      <x:c r="A269" s="10" t="str">
        <x:v>P15-11</x:v>
      </x:c>
      <x:c r="B269" s="10" t="str">
        <x:v>Deployment Options</x:v>
      </x:c>
      <x:c r="C269" s="10" t="str">
        <x:v>Feature detail</x:v>
      </x:c>
      <x:c r="D269" s="10" t="str">
        <x:v>Start with the operational requirements.</x:v>
      </x:c>
      <x:c r="E269" s="10" t="str">
        <x:v>A106</x:v>
      </x:c>
      <x:c r="F269" s="10" t="str">
        <x:v>A hosted environment overview showing the application, managed services and team access boundary.</x:v>
      </x:c>
      <x:c r="G269" s="10" t="str">
        <x:v>Rework</x:v>
      </x:c>
      <x:c r="H269" s="10" t="str">
        <x:f>'Production assets'!F111</x:f>
        <x:v>Not started</x:v>
      </x:c>
      <x:c r="I269" s="10" t="str">
        <x:v>Editable SVG/layers + 1200 x 1200 WebP</x:v>
      </x:c>
      <x:c r="J269" s="10" t="str">
        <x:v>Existing product image</x:v>
      </x:c>
      <x:c r="K269" s="10" t="str">
        <x:v>/brand/platform/deployment-options/cloud.jpg</x:v>
      </x:c>
      <x:c r="L269" s="10" t="str">
        <x:v>580 x 580</x:v>
      </x:c>
      <x:c r="M269" s="10" t="str">
        <x:v>Pale mint, aqua, blue, navy</x:v>
      </x:c>
      <x:c r="N269" s="10" t="str">
        <x:v>Preserve the existing CSS gradient. Export foreground separately with transparent background. Keep key UI within the central 80%.</x:v>
      </x:c>
      <x:c r="O269" s="10" t="str">
        <x:v>http://localhost:3000/platform/deployment-options#cloud</x:v>
      </x:c>
    </x:row>
    <x:row r="270" ht="51" customHeight="1">
      <x:c r="A270" s="5" t="str">
        <x:v>P15-12</x:v>
      </x:c>
      <x:c r="B270" s="5" t="str">
        <x:v>Deployment Options</x:v>
      </x:c>
      <x:c r="C270" s="5" t="str">
        <x:v>Feature detail</x:v>
      </x:c>
      <x:c r="D270" s="5" t="str">
        <x:v>Define the boundaries of a dedicated setup.</x:v>
      </x:c>
      <x:c r="E270" s="5" t="str">
        <x:v>A107</x:v>
      </x:c>
      <x:c r="F270" s="5" t="str">
        <x:v>A dedicated environment architecture enclosed within a clearly labeled private boundary.</x:v>
      </x:c>
      <x:c r="G270" s="5" t="str">
        <x:v>Rework</x:v>
      </x:c>
      <x:c r="H270" s="5" t="str">
        <x:f>'Production assets'!F112</x:f>
        <x:v>Not started</x:v>
      </x:c>
      <x:c r="I270" s="5" t="str">
        <x:v>Editable SVG/layers + 1200 x 1200 WebP</x:v>
      </x:c>
      <x:c r="J270" s="5" t="str">
        <x:v>Existing product image</x:v>
      </x:c>
      <x:c r="K270" s="5" t="str">
        <x:v>/brand/platform/deployment-options/private-innflow.png</x:v>
      </x:c>
      <x:c r="L270" s="5" t="str">
        <x:v>532 x 532</x:v>
      </x:c>
      <x:c r="M270" s="5" t="str">
        <x:v>Pale mint, aqua, blue, navy</x:v>
      </x:c>
      <x:c r="N270" s="5" t="str">
        <x:v>Preserve the existing CSS gradient. Export foreground separately with transparent background. Keep key UI within the central 80%.</x:v>
      </x:c>
      <x:c r="O270" s="5" t="str">
        <x:v>http://localhost:3000/platform/deployment-options#private</x:v>
      </x:c>
    </x:row>
    <x:row r="271" ht="51" customHeight="1">
      <x:c r="A271" s="10" t="str">
        <x:v>P15-13</x:v>
      </x:c>
      <x:c r="B271" s="10" t="str">
        <x:v>Deployment Options</x:v>
      </x:c>
      <x:c r="C271" s="10" t="str">
        <x:v>Feature detail</x:v>
      </x:c>
      <x:c r="D271" s="10" t="str">
        <x:v>Map responsibilities within your environment.</x:v>
      </x:c>
      <x:c r="E271" s="10" t="str">
        <x:v>A108</x:v>
      </x:c>
      <x:c r="F271" s="10" t="str">
        <x:v>An on-premise architecture with infrastructure ownership and operational responsibilities labeled.</x:v>
      </x:c>
      <x:c r="G271" s="10" t="str">
        <x:v>Rework</x:v>
      </x:c>
      <x:c r="H271" s="10" t="str">
        <x:f>'Production assets'!F113</x:f>
        <x:v>Not started</x:v>
      </x:c>
      <x:c r="I271" s="10" t="str">
        <x:v>Editable SVG/layers + 1200 x 1200 WebP</x:v>
      </x:c>
      <x:c r="J271" s="10" t="str">
        <x:v>Existing product image</x:v>
      </x:c>
      <x:c r="K271" s="10" t="str">
        <x:v>/brand/platform/deployment-options/on-premise-innflow.png</x:v>
      </x:c>
      <x:c r="L271" s="10" t="str">
        <x:v>580 x 580</x:v>
      </x:c>
      <x:c r="M271" s="10" t="str">
        <x:v>Pale mint, aqua, blue, navy</x:v>
      </x:c>
      <x:c r="N271" s="10" t="str">
        <x:v>Preserve the existing CSS gradient. Export foreground separately with transparent background. Keep key UI within the central 80%.</x:v>
      </x:c>
      <x:c r="O271" s="10" t="str">
        <x:v>http://localhost:3000/platform/deployment-options#on-premise</x:v>
      </x:c>
    </x:row>
    <x:row r="272" ht="51" customHeight="1">
      <x:c r="A272" s="5" t="str">
        <x:v>P15-14</x:v>
      </x:c>
      <x:c r="B272" s="5" t="str">
        <x:v>Deployment Options</x:v>
      </x:c>
      <x:c r="C272" s="5" t="str">
        <x:v>Feature detail</x:v>
      </x:c>
      <x:c r="D272" s="5" t="str">
        <x:v>Choose model access deliberately.</x:v>
      </x:c>
      <x:c r="E272" s="5" t="str">
        <x:v>A109</x:v>
      </x:c>
      <x:c r="F272" s="5" t="str">
        <x:v>A model access chooser connecting approved providers to the deployment environment.</x:v>
      </x:c>
      <x:c r="G272" s="5" t="str">
        <x:v>Rework</x:v>
      </x:c>
      <x:c r="H272" s="5" t="str">
        <x:f>'Production assets'!F114</x:f>
        <x:v>Not started</x:v>
      </x:c>
      <x:c r="I272" s="5" t="str">
        <x:v>Editable SVG/layers + 1200 x 1200 WebP</x:v>
      </x:c>
      <x:c r="J272" s="5" t="str">
        <x:v>Existing product image</x:v>
      </x:c>
      <x:c r="K272" s="5" t="str">
        <x:v>/brand/platform/deployment-options/models.jpg</x:v>
      </x:c>
      <x:c r="L272" s="5" t="str">
        <x:v>532 x 532</x:v>
      </x:c>
      <x:c r="M272" s="5" t="str">
        <x:v>Pale mint, aqua, blue, navy</x:v>
      </x:c>
      <x:c r="N272" s="5" t="str">
        <x:v>Preserve the existing CSS gradient. Export foreground separately with transparent background. Keep key UI within the central 80%.</x:v>
      </x:c>
      <x:c r="O272" s="5" t="str">
        <x:v>http://localhost:3000/platform/deployment-options#models</x:v>
      </x:c>
    </x:row>
    <x:row r="273" ht="51" customHeight="1">
      <x:c r="A273" s="10" t="str">
        <x:v>P15-15</x:v>
      </x:c>
      <x:c r="B273" s="10" t="str">
        <x:v>Deployment Options</x:v>
      </x:c>
      <x:c r="C273" s="10" t="str">
        <x:v>Feature detail</x:v>
      </x:c>
      <x:c r="D273" s="10" t="str">
        <x:v>Account for where data needs to stay.</x:v>
      </x:c>
      <x:c r="E273" s="10" t="str">
        <x:v>A110</x:v>
      </x:c>
      <x:c r="F273" s="10" t="str">
        <x:v>A regional deployment map with a selected data location and defined storage boundary.</x:v>
      </x:c>
      <x:c r="G273" s="10" t="str">
        <x:v>Rework</x:v>
      </x:c>
      <x:c r="H273" s="10" t="str">
        <x:f>'Production assets'!F115</x:f>
        <x:v>Not started</x:v>
      </x:c>
      <x:c r="I273" s="10" t="str">
        <x:v>Editable SVG/layers + 1200 x 1200 WebP</x:v>
      </x:c>
      <x:c r="J273" s="10" t="str">
        <x:v>Existing product image</x:v>
      </x:c>
      <x:c r="K273" s="10" t="str">
        <x:v>/brand/platform/deployment-options/regions.jpg</x:v>
      </x:c>
      <x:c r="L273" s="10" t="str">
        <x:v>580 x 580</x:v>
      </x:c>
      <x:c r="M273" s="10" t="str">
        <x:v>Pale mint, aqua, blue, navy</x:v>
      </x:c>
      <x:c r="N273" s="10" t="str">
        <x:v>Preserve the existing CSS gradient. Export foreground separately with transparent background. Keep key UI within the central 80%.</x:v>
      </x:c>
      <x:c r="O273" s="10" t="str">
        <x:v>http://localhost:3000/platform/deployment-options#regions</x:v>
      </x:c>
    </x:row>
    <x:row r="274" ht="51" customHeight="1">
      <x:c r="A274" s="5" t="str">
        <x:v>P15-16</x:v>
      </x:c>
      <x:c r="B274" s="5" t="str">
        <x:v>Deployment Options</x:v>
      </x:c>
      <x:c r="C274" s="5" t="str">
        <x:v>Feature detail</x:v>
      </x:c>
      <x:c r="D274" s="5" t="str">
        <x:v>Prepare for a change of environment.</x:v>
      </x:c>
      <x:c r="E274" s="5" t="str">
        <x:v>A111</x:v>
      </x:c>
      <x:c r="F274" s="5" t="str">
        <x:v>A staged migration path from source environment through validation to the destination.</x:v>
      </x:c>
      <x:c r="G274" s="5" t="str">
        <x:v>Rework</x:v>
      </x:c>
      <x:c r="H274" s="5" t="str">
        <x:f>'Production assets'!F116</x:f>
        <x:v>Not started</x:v>
      </x:c>
      <x:c r="I274" s="5" t="str">
        <x:v>Editable SVG/layers + 1200 x 1200 WebP</x:v>
      </x:c>
      <x:c r="J274" s="5" t="str">
        <x:v>Existing product image</x:v>
      </x:c>
      <x:c r="K274" s="5" t="str">
        <x:v>/brand/platform/deployment-options/migration-innflow.png</x:v>
      </x:c>
      <x:c r="L274" s="5" t="str">
        <x:v>532 x 532</x:v>
      </x:c>
      <x:c r="M274" s="5" t="str">
        <x:v>Pale mint, aqua, blue, navy</x:v>
      </x:c>
      <x:c r="N274" s="5" t="str">
        <x:v>Preserve the existing CSS gradient. Export foreground separately with transparent background. Keep key UI within the central 80%.</x:v>
      </x:c>
      <x:c r="O274" s="5" t="str">
        <x:v>http://localhost:3000/platform/deployment-options#migration</x:v>
      </x:c>
    </x:row>
    <x:row r="275" ht="51" customHeight="1">
      <x:c r="A275" s="10" t="str">
        <x:v>P15-17</x:v>
      </x:c>
      <x:c r="B275" s="10" t="str">
        <x:v>Deployment Options</x:v>
      </x:c>
      <x:c r="C275" s="10" t="str">
        <x:v>Feature detail</x:v>
      </x:c>
      <x:c r="D275" s="10" t="str">
        <x:v>Agree on the controls the environment needs.</x:v>
      </x:c>
      <x:c r="E275" s="10" t="str">
        <x:v>A112</x:v>
      </x:c>
      <x:c r="F275" s="10" t="str">
        <x:v>An environment policy panel with roles, access boundaries and review controls.</x:v>
      </x:c>
      <x:c r="G275" s="10" t="str">
        <x:v>Rework</x:v>
      </x:c>
      <x:c r="H275" s="10" t="str">
        <x:f>'Production assets'!F117</x:f>
        <x:v>Not started</x:v>
      </x:c>
      <x:c r="I275" s="10" t="str">
        <x:v>Editable SVG/layers + 1200 x 1200 WebP</x:v>
      </x:c>
      <x:c r="J275" s="10" t="str">
        <x:v>Existing product image</x:v>
      </x:c>
      <x:c r="K275" s="10" t="str">
        <x:v>/brand/platform/deployment-options/governance.jpg</x:v>
      </x:c>
      <x:c r="L275" s="10" t="str">
        <x:v>580 x 580</x:v>
      </x:c>
      <x:c r="M275" s="10" t="str">
        <x:v>Pale mint, aqua, blue, navy</x:v>
      </x:c>
      <x:c r="N275" s="10" t="str">
        <x:v>Preserve the existing CSS gradient. Export foreground separately with transparent background. Keep key UI within the central 80%.</x:v>
      </x:c>
      <x:c r="O275" s="10" t="str">
        <x:v>http://localhost:3000/platform/deployment-options#governance</x:v>
      </x:c>
    </x:row>
    <x:row r="276" ht="51" customHeight="1">
      <x:c r="A276" s="5" t="str">
        <x:v>P15-18</x:v>
      </x:c>
      <x:c r="B276" s="5" t="str">
        <x:v>Deployment Options</x:v>
      </x:c>
      <x:c r="C276" s="5" t="str">
        <x:v>Feature detail</x:v>
      </x:c>
      <x:c r="D276" s="5" t="str">
        <x:v>Bring the right people into the rollout.</x:v>
      </x:c>
      <x:c r="E276" s="5" t="str">
        <x:v>A113</x:v>
      </x:c>
      <x:c r="F276" s="5" t="str">
        <x:v>A rollout checklist assigning infrastructure, security and operational tasks to team owners.</x:v>
      </x:c>
      <x:c r="G276" s="5" t="str">
        <x:v>Rework</x:v>
      </x:c>
      <x:c r="H276" s="5" t="str">
        <x:f>'Production assets'!F118</x:f>
        <x:v>Not started</x:v>
      </x:c>
      <x:c r="I276" s="5" t="str">
        <x:v>Editable SVG/layers + 1200 x 1200 WebP</x:v>
      </x:c>
      <x:c r="J276" s="5" t="str">
        <x:v>Existing product image</x:v>
      </x:c>
      <x:c r="K276" s="5" t="str">
        <x:v>/brand/platform/deployment-options/support-innflow.png</x:v>
      </x:c>
      <x:c r="L276" s="5" t="str">
        <x:v>532 x 532</x:v>
      </x:c>
      <x:c r="M276" s="5" t="str">
        <x:v>Pale mint, aqua, blue, navy</x:v>
      </x:c>
      <x:c r="N276" s="5" t="str">
        <x:v>Preserve the existing CSS gradient. Export foreground separately with transparent background. Keep key UI within the central 80%.</x:v>
      </x:c>
      <x:c r="O276" s="5" t="str">
        <x:v>http://localhost:3000/platform/deployment-options#support</x:v>
      </x:c>
    </x:row>
    <x:row r="277" ht="38" customHeight="1">
      <x:c r="A277" s="10" t="str">
        <x:v>P15-19</x:v>
      </x:c>
      <x:c r="B277" s="10" t="str">
        <x:v>Deployment Options</x:v>
      </x:c>
      <x:c r="C277" s="10" t="str">
        <x:v>Related product thumbnail</x:v>
      </x:c>
      <x:c r="D277" s="10" t="str">
        <x:v>Platform</x:v>
      </x:c>
      <x:c r="E277" s="10" t="str">
        <x:v>A015</x:v>
      </x:c>
      <x:c r="F277" s="10" t="str">
        <x:v>A compact workspace overview linking agents, tools and shared knowledge.</x:v>
      </x:c>
      <x:c r="G277" s="10" t="str">
        <x:v>Create</x:v>
      </x:c>
      <x:c r="H277" s="10" t="str">
        <x:f>'Production assets'!F20</x:f>
        <x:v>Not started</x:v>
      </x:c>
      <x:c r="I277" s="10" t="str">
        <x:v>Editable SVG + 1200 x 1000 WebP</x:v>
      </x:c>
      <x:c r="J277" s="10" t="str">
        <x:v>Generic star on gradient</x:v>
      </x:c>
      <x:c r="K277" s="10" t="str">
        <x:v>/brand/calendly/assistant-hero.svg + star glyph</x:v>
      </x:c>
      <x:c r="L277" s="10" t="str">
        <x:v>227 x 189</x:v>
      </x:c>
      <x:c r="M277" s="10" t="str">
        <x:v>Ice blue, white, teal, deep green</x:v>
      </x:c>
      <x:c r="N277" s="10" t="str">
        <x:v>Create once and reuse across related-product cards and the Platform card rail. Keep the gradient separate.</x:v>
      </x:c>
      <x:c r="O277" s="10" t="str">
        <x:v>http://localhost:3000/platform/deployment-options</x:v>
      </x:c>
    </x:row>
    <x:row r="278" ht="38" customHeight="1">
      <x:c r="A278" s="5" t="str">
        <x:v>P15-20</x:v>
      </x:c>
      <x:c r="B278" s="5" t="str">
        <x:v>Deployment Options</x:v>
      </x:c>
      <x:c r="C278" s="5" t="str">
        <x:v>Related product thumbnail</x:v>
      </x:c>
      <x:c r="D278" s="5" t="str">
        <x:v>Integrations</x:v>
      </x:c>
      <x:c r="E278" s="5" t="str">
        <x:v>A006</x:v>
      </x:c>
      <x:c r="F278" s="5" t="str">
        <x:v>A central Innflow node connected to a small set of tool tiles.</x:v>
      </x:c>
      <x:c r="G278" s="5" t="str">
        <x:v>Create</x:v>
      </x:c>
      <x:c r="H278" s="5" t="str">
        <x:f>'Production assets'!F11</x:f>
        <x:v>Not started</x:v>
      </x:c>
      <x:c r="I278" s="5" t="str">
        <x:v>Editable SVG + 1200 x 1000 WebP</x:v>
      </x:c>
      <x:c r="J278" s="5" t="str">
        <x:v>Generic star on gradient</x:v>
      </x:c>
      <x:c r="K278" s="5" t="str">
        <x:v>/brand/calendly/scheduling-hero.svg + star glyph</x:v>
      </x:c>
      <x:c r="L278" s="5" t="str">
        <x:v>227 x 189</x:v>
      </x:c>
      <x:c r="M278" s="5" t="str">
        <x:v>Sky blue, pale aqua, navy</x:v>
      </x:c>
      <x:c r="N278" s="5" t="str">
        <x:v>Create once and reuse across related-product cards and the Platform card rail. Keep the gradient separate.</x:v>
      </x:c>
      <x:c r="O278" s="5" t="str">
        <x:v>http://localhost:3000/platform/deployment-options</x:v>
      </x:c>
    </x:row>
    <x:row r="279" ht="38" customHeight="1">
      <x:c r="A279" s="10" t="str">
        <x:v>P15-21</x:v>
      </x:c>
      <x:c r="B279" s="10" t="str">
        <x:v>Deployment Options</x:v>
      </x:c>
      <x:c r="C279" s="10" t="str">
        <x:v>Related product thumbnail</x:v>
      </x:c>
      <x:c r="D279" s="10" t="str">
        <x:v>Agentic Workflows</x:v>
      </x:c>
      <x:c r="E279" s="10" t="str">
        <x:v>A010</x:v>
      </x:c>
      <x:c r="F279" s="10" t="str">
        <x:v>A compact workflow canvas with trigger, branch and action nodes.</x:v>
      </x:c>
      <x:c r="G279" s="10" t="str">
        <x:v>Create</x:v>
      </x:c>
      <x:c r="H279" s="10" t="str">
        <x:f>'Production assets'!F15</x:f>
        <x:v>Not started</x:v>
      </x:c>
      <x:c r="I279" s="10" t="str">
        <x:v>Editable SVG + 1200 x 1000 WebP</x:v>
      </x:c>
      <x:c r="J279" s="10" t="str">
        <x:v>Generic star on gradient</x:v>
      </x:c>
      <x:c r="K279" s="10" t="str">
        <x:v>/brand/calendly/notetaker-hero.svg + star glyph</x:v>
      </x:c>
      <x:c r="L279" s="10" t="str">
        <x:v>227 x 189</x:v>
      </x:c>
      <x:c r="M279" s="10" t="str">
        <x:v>Navy, blue, blush, lavender</x:v>
      </x:c>
      <x:c r="N279" s="10" t="str">
        <x:v>Create once and reuse across related-product cards and the Platform card rail. Keep the gradient separate.</x:v>
      </x:c>
      <x:c r="O279" s="10" t="str">
        <x:v>http://localhost:3000/platform/deployment-options</x:v>
      </x:c>
    </x:row>
    <x:row r="280" ht="38" customHeight="1">
      <x:c r="A280" s="5" t="str">
        <x:v>P15-22</x:v>
      </x:c>
      <x:c r="B280" s="5" t="str">
        <x:v>Deployment Options</x:v>
      </x:c>
      <x:c r="C280" s="5" t="str">
        <x:v>Related product thumbnail</x:v>
      </x:c>
      <x:c r="D280" s="5" t="str">
        <x:v>Agent OS</x:v>
      </x:c>
      <x:c r="E280" s="5" t="str">
        <x:v>A011</x:v>
      </x:c>
      <x:c r="F280" s="5" t="str">
        <x:v>A small orchestration graph connecting agents and shared memory.</x:v>
      </x:c>
      <x:c r="G280" s="5" t="str">
        <x:v>Create</x:v>
      </x:c>
      <x:c r="H280" s="5" t="str">
        <x:f>'Production assets'!F16</x:f>
        <x:v>Not started</x:v>
      </x:c>
      <x:c r="I280" s="5" t="str">
        <x:v>Editable SVG + 1200 x 1000 WebP</x:v>
      </x:c>
      <x:c r="J280" s="5" t="str">
        <x:v>Generic star on gradient</x:v>
      </x:c>
      <x:c r="K280" s="5" t="str">
        <x:v>/brand/calendly/contacts-hero.svg + star glyph</x:v>
      </x:c>
      <x:c r="L280" s="5" t="str">
        <x:v>227 x 189</x:v>
      </x:c>
      <x:c r="M280" s="5" t="str">
        <x:v>Cream, peach, pink, blue</x:v>
      </x:c>
      <x:c r="N280" s="5" t="str">
        <x:v>Create once and reuse across related-product cards and the Platform card rail. Keep the gradient separate.</x:v>
      </x:c>
      <x:c r="O280" s="5" t="str">
        <x:v>http://localhost:3000/platform/deployment-options</x:v>
      </x:c>
    </x:row>
    <x:row r="281" ht="38" customHeight="1">
      <x:c r="A281" s="10" t="str">
        <x:v>P15-23</x:v>
      </x:c>
      <x:c r="B281" s="10" t="str">
        <x:v>Deployment Options</x:v>
      </x:c>
      <x:c r="C281" s="10" t="str">
        <x:v>Related product thumbnail</x:v>
      </x:c>
      <x:c r="D281" s="10" t="str">
        <x:v>AI Agents</x:v>
      </x:c>
      <x:c r="E281" s="10" t="str">
        <x:v>A012</x:v>
      </x:c>
      <x:c r="F281" s="10" t="str">
        <x:v>An agent task card with linked evidence and a proposed next action.</x:v>
      </x:c>
      <x:c r="G281" s="10" t="str">
        <x:v>Create</x:v>
      </x:c>
      <x:c r="H281" s="10" t="str">
        <x:f>'Production assets'!F17</x:f>
        <x:v>Not started</x:v>
      </x:c>
      <x:c r="I281" s="10" t="str">
        <x:v>Editable SVG + 1200 x 1000 WebP</x:v>
      </x:c>
      <x:c r="J281" s="10" t="str">
        <x:v>Generic star on gradient</x:v>
      </x:c>
      <x:c r="K281" s="10" t="str">
        <x:v>/brand/calendly/payments-hero.svg + star glyph</x:v>
      </x:c>
      <x:c r="L281" s="10" t="str">
        <x:v>227 x 189</x:v>
      </x:c>
      <x:c r="M281" s="10" t="str">
        <x:v>Pale mint, aqua, blue, navy</x:v>
      </x:c>
      <x:c r="N281" s="10" t="str">
        <x:v>Create once and reuse across related-product cards and the Platform card rail. Keep the gradient separate.</x:v>
      </x:c>
      <x:c r="O281" s="10" t="str">
        <x:v>http://localhost:3000/platform/deployment-options</x:v>
      </x:c>
    </x:row>
    <x:row r="282" ht="38" customHeight="1">
      <x:c r="A282" s="5" t="str">
        <x:v>P16-01</x:v>
      </x:c>
      <x:c r="B282" s="5" t="str">
        <x:v>Security and Compliance</x:v>
      </x:c>
      <x:c r="C282" s="5" t="str">
        <x:v>Hero background</x:v>
      </x:c>
      <x:c r="D282" s="5" t="str">
        <x:v>Build trust into the way work gets done.</x:v>
      </x:c>
      <x:c r="E282" s="5" t="str">
        <x:v>A001</x:v>
      </x:c>
      <x:c r="F282" s="5" t="str">
        <x:v>Reuse the existing Paper SVG as a separate background layer. No new background required.</x:v>
      </x:c>
      <x:c r="G282" s="5" t="str">
        <x:v>Reuse</x:v>
      </x:c>
      <x:c r="H282" s="5" t="str">
        <x:f>'Production assets'!F6</x:f>
        <x:v>Existing</x:v>
      </x:c>
      <x:c r="I282" s="5" t="str">
        <x:v>Existing scalable SVG</x:v>
      </x:c>
      <x:c r="J282" s="5" t="str">
        <x:v>Existing background</x:v>
      </x:c>
      <x:c r="K282" s="5" t="str">
        <x:v>/brand/calendly/assistant-hero.svg</x:v>
      </x:c>
      <x:c r="L282" s="5" t="str">
        <x:v>1387 x 776</x:v>
      </x:c>
      <x:c r="M282" s="5" t="str">
        <x:v>Ice blue, white, teal, deep green</x:v>
      </x:c>
      <x:c r="N282" s="5" t="str">
        <x:v>Shared by every page using this style.</x:v>
      </x:c>
      <x:c r="O282" s="5" t="str">
        <x:v>http://localhost:3000/platform/security-and-compliance</x:v>
      </x:c>
    </x:row>
    <x:row r="283" ht="51" customHeight="1">
      <x:c r="A283" s="10" t="str">
        <x:v>P16-02</x:v>
      </x:c>
      <x:c r="B283" s="10" t="str">
        <x:v>Security and Compliance</x:v>
      </x:c>
      <x:c r="C283" s="10" t="str">
        <x:v>Capability overview</x:v>
      </x:c>
      <x:c r="D283" s="10" t="str">
        <x:v>Compliance review</x:v>
      </x:c>
      <x:c r="E283" s="10" t="str">
        <x:v>A114</x:v>
      </x:c>
      <x:c r="F283" s="10" t="str">
        <x:v>An evidence library with policy and review documents grouped for assessment. Avoid unverified certification badges.</x:v>
      </x:c>
      <x:c r="G283" s="10" t="str">
        <x:v>Rework</x:v>
      </x:c>
      <x:c r="H283" s="10" t="str">
        <x:f>'Production assets'!F119</x:f>
        <x:v>Not started</x:v>
      </x:c>
      <x:c r="I283" s="10" t="str">
        <x:v>Editable SVG/layers + 1200 x 1200 WebP</x:v>
      </x:c>
      <x:c r="J283" s="10" t="str">
        <x:v>Existing product image</x:v>
      </x:c>
      <x:c r="K283" s="10" t="str">
        <x:v>/brand/platform/security-and-compliance/compliance.png</x:v>
      </x:c>
      <x:c r="L283" s="10" t="str">
        <x:v>580 x 580</x:v>
      </x:c>
      <x:c r="M283" s="10" t="str">
        <x:v>Ice blue, white, teal, deep green</x:v>
      </x:c>
      <x:c r="N283" s="10" t="str">
        <x:v>Preserve the existing CSS gradient. Export foreground separately with transparent background. Keep key UI within the central 80%. Reuses the first feature detail artwork.</x:v>
      </x:c>
      <x:c r="O283" s="10" t="str">
        <x:v>http://localhost:3000/platform/security-and-compliance#compliance</x:v>
      </x:c>
    </x:row>
    <x:row r="284" ht="51" customHeight="1">
      <x:c r="A284" s="5" t="str">
        <x:v>P16-03</x:v>
      </x:c>
      <x:c r="B284" s="5" t="str">
        <x:v>Security and Compliance</x:v>
      </x:c>
      <x:c r="C284" s="5" t="str">
        <x:v>Feature card</x:v>
      </x:c>
      <x:c r="D284" s="5" t="str">
        <x:v>Start with the evidence your team needs.</x:v>
      </x:c>
      <x:c r="E284" s="5" t="str">
        <x:v>A114</x:v>
      </x:c>
      <x:c r="F284" s="5" t="str">
        <x:v>An evidence library with policy and review documents grouped for assessment. Avoid unverified certification badges.</x:v>
      </x:c>
      <x:c r="G284" s="5" t="str">
        <x:v>Rework</x:v>
      </x:c>
      <x:c r="H284" s="5" t="str">
        <x:f>'Production assets'!F119</x:f>
        <x:v>Not started</x:v>
      </x:c>
      <x:c r="I284" s="5" t="str">
        <x:v>1200 x 1000 WebP crop of shared master</x:v>
      </x:c>
      <x:c r="J284" s="5" t="str">
        <x:v>Existing product image</x:v>
      </x:c>
      <x:c r="K284" s="5" t="str">
        <x:v>/brand/platform/security-and-compliance/compliance.png</x:v>
      </x:c>
      <x:c r="L284" s="5" t="str">
        <x:v>320 x 267</x:v>
      </x:c>
      <x:c r="M284" s="5" t="str">
        <x:v>Ice blue, white, teal, deep green</x:v>
      </x:c>
      <x:c r="N284" s="5" t="str">
        <x:v>Preserve the existing CSS gradient. Export foreground separately with transparent background. Keep key UI within the central 80%.</x:v>
      </x:c>
      <x:c r="O284" s="5" t="str">
        <x:v>http://localhost:3000/platform/security-and-compliance#compliance</x:v>
      </x:c>
    </x:row>
    <x:row r="285" ht="51" customHeight="1">
      <x:c r="A285" s="10" t="str">
        <x:v>P16-04</x:v>
      </x:c>
      <x:c r="B285" s="10" t="str">
        <x:v>Security and Compliance</x:v>
      </x:c>
      <x:c r="C285" s="10" t="str">
        <x:v>Feature card</x:v>
      </x:c>
      <x:c r="D285" s="10" t="str">
        <x:v>Understand where information travels.</x:v>
      </x:c>
      <x:c r="E285" s="10" t="str">
        <x:v>A115</x:v>
      </x:c>
      <x:c r="F285" s="10" t="str">
        <x:v>A data-flow diagram showing collection, processing, storage and controlled sharing boundaries.</x:v>
      </x:c>
      <x:c r="G285" s="10" t="str">
        <x:v>Rework</x:v>
      </x:c>
      <x:c r="H285" s="10" t="str">
        <x:f>'Production assets'!F120</x:f>
        <x:v>Not started</x:v>
      </x:c>
      <x:c r="I285" s="10" t="str">
        <x:v>1200 x 1000 WebP crop of shared master</x:v>
      </x:c>
      <x:c r="J285" s="10" t="str">
        <x:v>Existing product image</x:v>
      </x:c>
      <x:c r="K285" s="10" t="str">
        <x:v>/brand/platform/security-and-compliance/privacy.png</x:v>
      </x:c>
      <x:c r="L285" s="10" t="str">
        <x:v>320 x 267</x:v>
      </x:c>
      <x:c r="M285" s="10" t="str">
        <x:v>Ice blue, white, teal, deep green</x:v>
      </x:c>
      <x:c r="N285" s="10" t="str">
        <x:v>Preserve the existing CSS gradient. Export foreground separately with transparent background. Keep key UI within the central 80%.</x:v>
      </x:c>
      <x:c r="O285" s="10" t="str">
        <x:v>http://localhost:3000/platform/security-and-compliance#privacy</x:v>
      </x:c>
    </x:row>
    <x:row r="286" ht="51" customHeight="1">
      <x:c r="A286" s="5" t="str">
        <x:v>P16-05</x:v>
      </x:c>
      <x:c r="B286" s="5" t="str">
        <x:v>Security and Compliance</x:v>
      </x:c>
      <x:c r="C286" s="5" t="str">
        <x:v>Feature card</x:v>
      </x:c>
      <x:c r="D286" s="5" t="str">
        <x:v>Make data handling explicit.</x:v>
      </x:c>
      <x:c r="E286" s="5" t="str">
        <x:v>A116</x:v>
      </x:c>
      <x:c r="F286" s="5" t="str">
        <x:v>A data-handling panel showing retention, deletion and storage settings.</x:v>
      </x:c>
      <x:c r="G286" s="5" t="str">
        <x:v>Rework</x:v>
      </x:c>
      <x:c r="H286" s="5" t="str">
        <x:f>'Production assets'!F121</x:f>
        <x:v>Not started</x:v>
      </x:c>
      <x:c r="I286" s="5" t="str">
        <x:v>1200 x 1000 WebP crop of shared master</x:v>
      </x:c>
      <x:c r="J286" s="5" t="str">
        <x:v>Existing product image</x:v>
      </x:c>
      <x:c r="K286" s="5" t="str">
        <x:v>/brand/platform/security-and-compliance/data.png</x:v>
      </x:c>
      <x:c r="L286" s="5" t="str">
        <x:v>320 x 267</x:v>
      </x:c>
      <x:c r="M286" s="5" t="str">
        <x:v>Ice blue, white, teal, deep green</x:v>
      </x:c>
      <x:c r="N286" s="5" t="str">
        <x:v>Preserve the existing CSS gradient. Export foreground separately with transparent background. Keep key UI within the central 80%.</x:v>
      </x:c>
      <x:c r="O286" s="5" t="str">
        <x:v>http://localhost:3000/platform/security-and-compliance#data</x:v>
      </x:c>
    </x:row>
    <x:row r="287" ht="51" customHeight="1">
      <x:c r="A287" s="10" t="str">
        <x:v>P16-06</x:v>
      </x:c>
      <x:c r="B287" s="10" t="str">
        <x:v>Security and Compliance</x:v>
      </x:c>
      <x:c r="C287" s="10" t="str">
        <x:v>Feature card</x:v>
      </x:c>
      <x:c r="D287" s="10" t="str">
        <x:v>Match access to responsibility.</x:v>
      </x:c>
      <x:c r="E287" s="10" t="str">
        <x:v>A117</x:v>
      </x:c>
      <x:c r="F287" s="10" t="str">
        <x:v>A role-and-permission matrix with a scoped access drawer and an approval step.</x:v>
      </x:c>
      <x:c r="G287" s="10" t="str">
        <x:v>Rework</x:v>
      </x:c>
      <x:c r="H287" s="10" t="str">
        <x:f>'Production assets'!F122</x:f>
        <x:v>Not started</x:v>
      </x:c>
      <x:c r="I287" s="10" t="str">
        <x:v>1200 x 1000 WebP crop of shared master</x:v>
      </x:c>
      <x:c r="J287" s="10" t="str">
        <x:v>Existing product image</x:v>
      </x:c>
      <x:c r="K287" s="10" t="str">
        <x:v>/brand/platform/security-and-compliance/access.png</x:v>
      </x:c>
      <x:c r="L287" s="10" t="str">
        <x:v>320 x 267</x:v>
      </x:c>
      <x:c r="M287" s="10" t="str">
        <x:v>Ice blue, white, teal, deep green</x:v>
      </x:c>
      <x:c r="N287" s="10" t="str">
        <x:v>Preserve the existing CSS gradient. Export foreground separately with transparent background. Keep key UI within the central 80%.</x:v>
      </x:c>
      <x:c r="O287" s="10" t="str">
        <x:v>http://localhost:3000/platform/security-and-compliance#access</x:v>
      </x:c>
    </x:row>
    <x:row r="288" ht="51" customHeight="1">
      <x:c r="A288" s="5" t="str">
        <x:v>P16-07</x:v>
      </x:c>
      <x:c r="B288" s="5" t="str">
        <x:v>Security and Compliance</x:v>
      </x:c>
      <x:c r="C288" s="5" t="str">
        <x:v>Feature card</x:v>
      </x:c>
      <x:c r="D288" s="5" t="str">
        <x:v>Keep actions explainable.</x:v>
      </x:c>
      <x:c r="E288" s="5" t="str">
        <x:v>A118</x:v>
      </x:c>
      <x:c r="F288" s="5" t="str">
        <x:v>An audit timeline showing actor, action, timestamp and the affected record.</x:v>
      </x:c>
      <x:c r="G288" s="5" t="str">
        <x:v>Rework</x:v>
      </x:c>
      <x:c r="H288" s="5" t="str">
        <x:f>'Production assets'!F123</x:f>
        <x:v>Not started</x:v>
      </x:c>
      <x:c r="I288" s="5" t="str">
        <x:v>1200 x 1000 WebP crop of shared master</x:v>
      </x:c>
      <x:c r="J288" s="5" t="str">
        <x:v>Existing product image</x:v>
      </x:c>
      <x:c r="K288" s="5" t="str">
        <x:v>/brand/platform/security-and-compliance/audit.png</x:v>
      </x:c>
      <x:c r="L288" s="5" t="str">
        <x:v>320 x 267</x:v>
      </x:c>
      <x:c r="M288" s="5" t="str">
        <x:v>Ice blue, white, teal, deep green</x:v>
      </x:c>
      <x:c r="N288" s="5" t="str">
        <x:v>Preserve the existing CSS gradient. Export foreground separately with transparent background. Keep key UI within the central 80%.</x:v>
      </x:c>
      <x:c r="O288" s="5" t="str">
        <x:v>http://localhost:3000/platform/security-and-compliance#audit</x:v>
      </x:c>
    </x:row>
    <x:row r="289" ht="51" customHeight="1">
      <x:c r="A289" s="10" t="str">
        <x:v>P16-08</x:v>
      </x:c>
      <x:c r="B289" s="10" t="str">
        <x:v>Security and Compliance</x:v>
      </x:c>
      <x:c r="C289" s="10" t="str">
        <x:v>Feature card</x:v>
      </x:c>
      <x:c r="D289" s="10" t="str">
        <x:v>Review protection across the data path.</x:v>
      </x:c>
      <x:c r="E289" s="10" t="str">
        <x:v>A119</x:v>
      </x:c>
      <x:c r="F289" s="10" t="str">
        <x:v>A data-path diagram marking transport and storage protection review points.</x:v>
      </x:c>
      <x:c r="G289" s="10" t="str">
        <x:v>Rework</x:v>
      </x:c>
      <x:c r="H289" s="10" t="str">
        <x:f>'Production assets'!F124</x:f>
        <x:v>Not started</x:v>
      </x:c>
      <x:c r="I289" s="10" t="str">
        <x:v>1200 x 1000 WebP crop of shared master</x:v>
      </x:c>
      <x:c r="J289" s="10" t="str">
        <x:v>Existing product image</x:v>
      </x:c>
      <x:c r="K289" s="10" t="str">
        <x:v>/brand/platform/security-and-compliance/encryption.png</x:v>
      </x:c>
      <x:c r="L289" s="10" t="str">
        <x:v>320 x 267</x:v>
      </x:c>
      <x:c r="M289" s="10" t="str">
        <x:v>Ice blue, white, teal, deep green</x:v>
      </x:c>
      <x:c r="N289" s="10" t="str">
        <x:v>Preserve the existing CSS gradient. Export foreground separately with transparent background. Keep key UI within the central 80%.</x:v>
      </x:c>
      <x:c r="O289" s="10" t="str">
        <x:v>http://localhost:3000/platform/security-and-compliance#encryption</x:v>
      </x:c>
    </x:row>
    <x:row r="290" ht="51" customHeight="1">
      <x:c r="A290" s="5" t="str">
        <x:v>P16-09</x:v>
      </x:c>
      <x:c r="B290" s="5" t="str">
        <x:v>Security and Compliance</x:v>
      </x:c>
      <x:c r="C290" s="5" t="str">
        <x:v>Feature card</x:v>
      </x:c>
      <x:c r="D290" s="5" t="str">
        <x:v>Review the inputs and actions an agent can use.</x:v>
      </x:c>
      <x:c r="E290" s="5" t="str">
        <x:v>A120</x:v>
      </x:c>
      <x:c r="F290" s="5" t="str">
        <x:v>An agent boundary view showing allowed inputs, scoped tools and restricted actions.</x:v>
      </x:c>
      <x:c r="G290" s="5" t="str">
        <x:v>Rework</x:v>
      </x:c>
      <x:c r="H290" s="5" t="str">
        <x:f>'Production assets'!F125</x:f>
        <x:v>Not started</x:v>
      </x:c>
      <x:c r="I290" s="5" t="str">
        <x:v>1200 x 1000 WebP crop of shared master</x:v>
      </x:c>
      <x:c r="J290" s="5" t="str">
        <x:v>Existing product image</x:v>
      </x:c>
      <x:c r="K290" s="5" t="str">
        <x:v>/brand/platform/security-and-compliance/ai-security.png</x:v>
      </x:c>
      <x:c r="L290" s="5" t="str">
        <x:v>320 x 267</x:v>
      </x:c>
      <x:c r="M290" s="5" t="str">
        <x:v>Ice blue, white, teal, deep green</x:v>
      </x:c>
      <x:c r="N290" s="5" t="str">
        <x:v>Preserve the existing CSS gradient. Export foreground separately with transparent background. Keep key UI within the central 80%.</x:v>
      </x:c>
      <x:c r="O290" s="5" t="str">
        <x:v>http://localhost:3000/platform/security-and-compliance#ai-security</x:v>
      </x:c>
    </x:row>
    <x:row r="291" ht="51" customHeight="1">
      <x:c r="A291" s="10" t="str">
        <x:v>P16-10</x:v>
      </x:c>
      <x:c r="B291" s="10" t="str">
        <x:v>Security and Compliance</x:v>
      </x:c>
      <x:c r="C291" s="10" t="str">
        <x:v>Feature card</x:v>
      </x:c>
      <x:c r="D291" s="10" t="str">
        <x:v>Include infrastructure in the security review.</x:v>
      </x:c>
      <x:c r="E291" s="10" t="str">
        <x:v>A121</x:v>
      </x:c>
      <x:c r="F291" s="10" t="str">
        <x:v>An infrastructure security diagram separating network, workload and administrative access.</x:v>
      </x:c>
      <x:c r="G291" s="10" t="str">
        <x:v>Rework</x:v>
      </x:c>
      <x:c r="H291" s="10" t="str">
        <x:f>'Production assets'!F126</x:f>
        <x:v>Not started</x:v>
      </x:c>
      <x:c r="I291" s="10" t="str">
        <x:v>1200 x 1000 WebP crop of shared master</x:v>
      </x:c>
      <x:c r="J291" s="10" t="str">
        <x:v>Existing product image</x:v>
      </x:c>
      <x:c r="K291" s="10" t="str">
        <x:v>/brand/platform/security-and-compliance/deployment-innflow.png</x:v>
      </x:c>
      <x:c r="L291" s="10" t="str">
        <x:v>320 x 267</x:v>
      </x:c>
      <x:c r="M291" s="10" t="str">
        <x:v>Ice blue, white, teal, deep green</x:v>
      </x:c>
      <x:c r="N291" s="10" t="str">
        <x:v>Preserve the existing CSS gradient. Export foreground separately with transparent background. Keep key UI within the central 80%.</x:v>
      </x:c>
      <x:c r="O291" s="10" t="str">
        <x:v>http://localhost:3000/platform/security-and-compliance#deployment</x:v>
      </x:c>
    </x:row>
    <x:row r="292" ht="51" customHeight="1">
      <x:c r="A292" s="5" t="str">
        <x:v>P16-11</x:v>
      </x:c>
      <x:c r="B292" s="5" t="str">
        <x:v>Security and Compliance</x:v>
      </x:c>
      <x:c r="C292" s="5" t="str">
        <x:v>Feature detail</x:v>
      </x:c>
      <x:c r="D292" s="5" t="str">
        <x:v>Start with the evidence your team needs.</x:v>
      </x:c>
      <x:c r="E292" s="5" t="str">
        <x:v>A114</x:v>
      </x:c>
      <x:c r="F292" s="5" t="str">
        <x:v>An evidence library with policy and review documents grouped for assessment. Avoid unverified certification badges.</x:v>
      </x:c>
      <x:c r="G292" s="5" t="str">
        <x:v>Rework</x:v>
      </x:c>
      <x:c r="H292" s="5" t="str">
        <x:f>'Production assets'!F119</x:f>
        <x:v>Not started</x:v>
      </x:c>
      <x:c r="I292" s="5" t="str">
        <x:v>Editable SVG/layers + 1200 x 1200 WebP</x:v>
      </x:c>
      <x:c r="J292" s="5" t="str">
        <x:v>Existing product image</x:v>
      </x:c>
      <x:c r="K292" s="5" t="str">
        <x:v>/brand/platform/security-and-compliance/compliance.png</x:v>
      </x:c>
      <x:c r="L292" s="5" t="str">
        <x:v>580 x 580</x:v>
      </x:c>
      <x:c r="M292" s="5" t="str">
        <x:v>Ice blue, white, teal, deep green</x:v>
      </x:c>
      <x:c r="N292" s="5" t="str">
        <x:v>Preserve the existing CSS gradient. Export foreground separately with transparent background. Keep key UI within the central 80%.</x:v>
      </x:c>
      <x:c r="O292" s="5" t="str">
        <x:v>http://localhost:3000/platform/security-and-compliance#compliance</x:v>
      </x:c>
    </x:row>
    <x:row r="293" ht="51" customHeight="1">
      <x:c r="A293" s="10" t="str">
        <x:v>P16-12</x:v>
      </x:c>
      <x:c r="B293" s="10" t="str">
        <x:v>Security and Compliance</x:v>
      </x:c>
      <x:c r="C293" s="10" t="str">
        <x:v>Feature detail</x:v>
      </x:c>
      <x:c r="D293" s="10" t="str">
        <x:v>Understand where information travels.</x:v>
      </x:c>
      <x:c r="E293" s="10" t="str">
        <x:v>A115</x:v>
      </x:c>
      <x:c r="F293" s="10" t="str">
        <x:v>A data-flow diagram showing collection, processing, storage and controlled sharing boundaries.</x:v>
      </x:c>
      <x:c r="G293" s="10" t="str">
        <x:v>Rework</x:v>
      </x:c>
      <x:c r="H293" s="10" t="str">
        <x:f>'Production assets'!F120</x:f>
        <x:v>Not started</x:v>
      </x:c>
      <x:c r="I293" s="10" t="str">
        <x:v>Editable SVG/layers + 1200 x 1200 WebP</x:v>
      </x:c>
      <x:c r="J293" s="10" t="str">
        <x:v>Existing product image</x:v>
      </x:c>
      <x:c r="K293" s="10" t="str">
        <x:v>/brand/platform/security-and-compliance/privacy.png</x:v>
      </x:c>
      <x:c r="L293" s="10" t="str">
        <x:v>532 x 532</x:v>
      </x:c>
      <x:c r="M293" s="10" t="str">
        <x:v>Ice blue, white, teal, deep green</x:v>
      </x:c>
      <x:c r="N293" s="10" t="str">
        <x:v>Preserve the existing CSS gradient. Export foreground separately with transparent background. Keep key UI within the central 80%.</x:v>
      </x:c>
      <x:c r="O293" s="10" t="str">
        <x:v>http://localhost:3000/platform/security-and-compliance#privacy</x:v>
      </x:c>
    </x:row>
    <x:row r="294" ht="51" customHeight="1">
      <x:c r="A294" s="5" t="str">
        <x:v>P16-13</x:v>
      </x:c>
      <x:c r="B294" s="5" t="str">
        <x:v>Security and Compliance</x:v>
      </x:c>
      <x:c r="C294" s="5" t="str">
        <x:v>Feature detail</x:v>
      </x:c>
      <x:c r="D294" s="5" t="str">
        <x:v>Make data handling explicit.</x:v>
      </x:c>
      <x:c r="E294" s="5" t="str">
        <x:v>A116</x:v>
      </x:c>
      <x:c r="F294" s="5" t="str">
        <x:v>A data-handling panel showing retention, deletion and storage settings.</x:v>
      </x:c>
      <x:c r="G294" s="5" t="str">
        <x:v>Rework</x:v>
      </x:c>
      <x:c r="H294" s="5" t="str">
        <x:f>'Production assets'!F121</x:f>
        <x:v>Not started</x:v>
      </x:c>
      <x:c r="I294" s="5" t="str">
        <x:v>Editable SVG/layers + 1200 x 1200 WebP</x:v>
      </x:c>
      <x:c r="J294" s="5" t="str">
        <x:v>Existing product image</x:v>
      </x:c>
      <x:c r="K294" s="5" t="str">
        <x:v>/brand/platform/security-and-compliance/data.png</x:v>
      </x:c>
      <x:c r="L294" s="5" t="str">
        <x:v>580 x 580</x:v>
      </x:c>
      <x:c r="M294" s="5" t="str">
        <x:v>Ice blue, white, teal, deep green</x:v>
      </x:c>
      <x:c r="N294" s="5" t="str">
        <x:v>Preserve the existing CSS gradient. Export foreground separately with transparent background. Keep key UI within the central 80%.</x:v>
      </x:c>
      <x:c r="O294" s="5" t="str">
        <x:v>http://localhost:3000/platform/security-and-compliance#data</x:v>
      </x:c>
    </x:row>
    <x:row r="295" ht="51" customHeight="1">
      <x:c r="A295" s="10" t="str">
        <x:v>P16-14</x:v>
      </x:c>
      <x:c r="B295" s="10" t="str">
        <x:v>Security and Compliance</x:v>
      </x:c>
      <x:c r="C295" s="10" t="str">
        <x:v>Feature detail</x:v>
      </x:c>
      <x:c r="D295" s="10" t="str">
        <x:v>Match access to responsibility.</x:v>
      </x:c>
      <x:c r="E295" s="10" t="str">
        <x:v>A117</x:v>
      </x:c>
      <x:c r="F295" s="10" t="str">
        <x:v>A role-and-permission matrix with a scoped access drawer and an approval step.</x:v>
      </x:c>
      <x:c r="G295" s="10" t="str">
        <x:v>Rework</x:v>
      </x:c>
      <x:c r="H295" s="10" t="str">
        <x:f>'Production assets'!F122</x:f>
        <x:v>Not started</x:v>
      </x:c>
      <x:c r="I295" s="10" t="str">
        <x:v>Editable SVG/layers + 1200 x 1200 WebP</x:v>
      </x:c>
      <x:c r="J295" s="10" t="str">
        <x:v>Existing product image</x:v>
      </x:c>
      <x:c r="K295" s="10" t="str">
        <x:v>/brand/platform/security-and-compliance/access.png</x:v>
      </x:c>
      <x:c r="L295" s="10" t="str">
        <x:v>532 x 532</x:v>
      </x:c>
      <x:c r="M295" s="10" t="str">
        <x:v>Ice blue, white, teal, deep green</x:v>
      </x:c>
      <x:c r="N295" s="10" t="str">
        <x:v>Preserve the existing CSS gradient. Export foreground separately with transparent background. Keep key UI within the central 80%.</x:v>
      </x:c>
      <x:c r="O295" s="10" t="str">
        <x:v>http://localhost:3000/platform/security-and-compliance#access</x:v>
      </x:c>
    </x:row>
    <x:row r="296" ht="51" customHeight="1">
      <x:c r="A296" s="5" t="str">
        <x:v>P16-15</x:v>
      </x:c>
      <x:c r="B296" s="5" t="str">
        <x:v>Security and Compliance</x:v>
      </x:c>
      <x:c r="C296" s="5" t="str">
        <x:v>Feature detail</x:v>
      </x:c>
      <x:c r="D296" s="5" t="str">
        <x:v>Keep actions explainable.</x:v>
      </x:c>
      <x:c r="E296" s="5" t="str">
        <x:v>A118</x:v>
      </x:c>
      <x:c r="F296" s="5" t="str">
        <x:v>An audit timeline showing actor, action, timestamp and the affected record.</x:v>
      </x:c>
      <x:c r="G296" s="5" t="str">
        <x:v>Rework</x:v>
      </x:c>
      <x:c r="H296" s="5" t="str">
        <x:f>'Production assets'!F123</x:f>
        <x:v>Not started</x:v>
      </x:c>
      <x:c r="I296" s="5" t="str">
        <x:v>Editable SVG/layers + 1200 x 1200 WebP</x:v>
      </x:c>
      <x:c r="J296" s="5" t="str">
        <x:v>Existing product image</x:v>
      </x:c>
      <x:c r="K296" s="5" t="str">
        <x:v>/brand/platform/security-and-compliance/audit.png</x:v>
      </x:c>
      <x:c r="L296" s="5" t="str">
        <x:v>580 x 580</x:v>
      </x:c>
      <x:c r="M296" s="5" t="str">
        <x:v>Ice blue, white, teal, deep green</x:v>
      </x:c>
      <x:c r="N296" s="5" t="str">
        <x:v>Preserve the existing CSS gradient. Export foreground separately with transparent background. Keep key UI within the central 80%.</x:v>
      </x:c>
      <x:c r="O296" s="5" t="str">
        <x:v>http://localhost:3000/platform/security-and-compliance#audit</x:v>
      </x:c>
    </x:row>
    <x:row r="297" ht="51" customHeight="1">
      <x:c r="A297" s="10" t="str">
        <x:v>P16-16</x:v>
      </x:c>
      <x:c r="B297" s="10" t="str">
        <x:v>Security and Compliance</x:v>
      </x:c>
      <x:c r="C297" s="10" t="str">
        <x:v>Feature detail</x:v>
      </x:c>
      <x:c r="D297" s="10" t="str">
        <x:v>Review protection across the data path.</x:v>
      </x:c>
      <x:c r="E297" s="10" t="str">
        <x:v>A119</x:v>
      </x:c>
      <x:c r="F297" s="10" t="str">
        <x:v>A data-path diagram marking transport and storage protection review points.</x:v>
      </x:c>
      <x:c r="G297" s="10" t="str">
        <x:v>Rework</x:v>
      </x:c>
      <x:c r="H297" s="10" t="str">
        <x:f>'Production assets'!F124</x:f>
        <x:v>Not started</x:v>
      </x:c>
      <x:c r="I297" s="10" t="str">
        <x:v>Editable SVG/layers + 1200 x 1200 WebP</x:v>
      </x:c>
      <x:c r="J297" s="10" t="str">
        <x:v>Existing product image</x:v>
      </x:c>
      <x:c r="K297" s="10" t="str">
        <x:v>/brand/platform/security-and-compliance/encryption.png</x:v>
      </x:c>
      <x:c r="L297" s="10" t="str">
        <x:v>532 x 532</x:v>
      </x:c>
      <x:c r="M297" s="10" t="str">
        <x:v>Ice blue, white, teal, deep green</x:v>
      </x:c>
      <x:c r="N297" s="10" t="str">
        <x:v>Preserve the existing CSS gradient. Export foreground separately with transparent background. Keep key UI within the central 80%.</x:v>
      </x:c>
      <x:c r="O297" s="10" t="str">
        <x:v>http://localhost:3000/platform/security-and-compliance#encryption</x:v>
      </x:c>
    </x:row>
    <x:row r="298" ht="51" customHeight="1">
      <x:c r="A298" s="5" t="str">
        <x:v>P16-17</x:v>
      </x:c>
      <x:c r="B298" s="5" t="str">
        <x:v>Security and Compliance</x:v>
      </x:c>
      <x:c r="C298" s="5" t="str">
        <x:v>Feature detail</x:v>
      </x:c>
      <x:c r="D298" s="5" t="str">
        <x:v>Review the inputs and actions an agent can use.</x:v>
      </x:c>
      <x:c r="E298" s="5" t="str">
        <x:v>A120</x:v>
      </x:c>
      <x:c r="F298" s="5" t="str">
        <x:v>An agent boundary view showing allowed inputs, scoped tools and restricted actions.</x:v>
      </x:c>
      <x:c r="G298" s="5" t="str">
        <x:v>Rework</x:v>
      </x:c>
      <x:c r="H298" s="5" t="str">
        <x:f>'Production assets'!F125</x:f>
        <x:v>Not started</x:v>
      </x:c>
      <x:c r="I298" s="5" t="str">
        <x:v>Editable SVG/layers + 1200 x 1200 WebP</x:v>
      </x:c>
      <x:c r="J298" s="5" t="str">
        <x:v>Existing product image</x:v>
      </x:c>
      <x:c r="K298" s="5" t="str">
        <x:v>/brand/platform/security-and-compliance/ai-security.png</x:v>
      </x:c>
      <x:c r="L298" s="5" t="str">
        <x:v>580 x 580</x:v>
      </x:c>
      <x:c r="M298" s="5" t="str">
        <x:v>Ice blue, white, teal, deep green</x:v>
      </x:c>
      <x:c r="N298" s="5" t="str">
        <x:v>Preserve the existing CSS gradient. Export foreground separately with transparent background. Keep key UI within the central 80%.</x:v>
      </x:c>
      <x:c r="O298" s="5" t="str">
        <x:v>http://localhost:3000/platform/security-and-compliance#ai-security</x:v>
      </x:c>
    </x:row>
    <x:row r="299" ht="51" customHeight="1">
      <x:c r="A299" s="10" t="str">
        <x:v>P16-18</x:v>
      </x:c>
      <x:c r="B299" s="10" t="str">
        <x:v>Security and Compliance</x:v>
      </x:c>
      <x:c r="C299" s="10" t="str">
        <x:v>Feature detail</x:v>
      </x:c>
      <x:c r="D299" s="10" t="str">
        <x:v>Include infrastructure in the security review.</x:v>
      </x:c>
      <x:c r="E299" s="10" t="str">
        <x:v>A121</x:v>
      </x:c>
      <x:c r="F299" s="10" t="str">
        <x:v>An infrastructure security diagram separating network, workload and administrative access.</x:v>
      </x:c>
      <x:c r="G299" s="10" t="str">
        <x:v>Rework</x:v>
      </x:c>
      <x:c r="H299" s="10" t="str">
        <x:f>'Production assets'!F126</x:f>
        <x:v>Not started</x:v>
      </x:c>
      <x:c r="I299" s="10" t="str">
        <x:v>Editable SVG/layers + 1200 x 1200 WebP</x:v>
      </x:c>
      <x:c r="J299" s="10" t="str">
        <x:v>Existing product image</x:v>
      </x:c>
      <x:c r="K299" s="10" t="str">
        <x:v>/brand/platform/security-and-compliance/deployment-innflow.png</x:v>
      </x:c>
      <x:c r="L299" s="10" t="str">
        <x:v>532 x 532</x:v>
      </x:c>
      <x:c r="M299" s="10" t="str">
        <x:v>Ice blue, white, teal, deep green</x:v>
      </x:c>
      <x:c r="N299" s="10" t="str">
        <x:v>Preserve the existing CSS gradient. Export foreground separately with transparent background. Keep key UI within the central 80%.</x:v>
      </x:c>
      <x:c r="O299" s="10" t="str">
        <x:v>http://localhost:3000/platform/security-and-compliance#deployment</x:v>
      </x:c>
    </x:row>
    <x:row r="300" ht="38" customHeight="1">
      <x:c r="A300" s="5" t="str">
        <x:v>P16-19</x:v>
      </x:c>
      <x:c r="B300" s="5" t="str">
        <x:v>Security and Compliance</x:v>
      </x:c>
      <x:c r="C300" s="5" t="str">
        <x:v>Related product thumbnail</x:v>
      </x:c>
      <x:c r="D300" s="5" t="str">
        <x:v>Platform</x:v>
      </x:c>
      <x:c r="E300" s="5" t="str">
        <x:v>A015</x:v>
      </x:c>
      <x:c r="F300" s="5" t="str">
        <x:v>A compact workspace overview linking agents, tools and shared knowledge.</x:v>
      </x:c>
      <x:c r="G300" s="5" t="str">
        <x:v>Create</x:v>
      </x:c>
      <x:c r="H300" s="5" t="str">
        <x:f>'Production assets'!F20</x:f>
        <x:v>Not started</x:v>
      </x:c>
      <x:c r="I300" s="5" t="str">
        <x:v>Editable SVG + 1200 x 1000 WebP</x:v>
      </x:c>
      <x:c r="J300" s="5" t="str">
        <x:v>Generic star on gradient</x:v>
      </x:c>
      <x:c r="K300" s="5" t="str">
        <x:v>/brand/calendly/assistant-hero.svg + star glyph</x:v>
      </x:c>
      <x:c r="L300" s="5" t="str">
        <x:v>227 x 189</x:v>
      </x:c>
      <x:c r="M300" s="5" t="str">
        <x:v>Ice blue, white, teal, deep green</x:v>
      </x:c>
      <x:c r="N300" s="5" t="str">
        <x:v>Create once and reuse across related-product cards and the Platform card rail. Keep the gradient separate.</x:v>
      </x:c>
      <x:c r="O300" s="5" t="str">
        <x:v>http://localhost:3000/platform/security-and-compliance</x:v>
      </x:c>
    </x:row>
    <x:row r="301" ht="38" customHeight="1">
      <x:c r="A301" s="10" t="str">
        <x:v>P16-20</x:v>
      </x:c>
      <x:c r="B301" s="10" t="str">
        <x:v>Security and Compliance</x:v>
      </x:c>
      <x:c r="C301" s="10" t="str">
        <x:v>Related product thumbnail</x:v>
      </x:c>
      <x:c r="D301" s="10" t="str">
        <x:v>Integrations</x:v>
      </x:c>
      <x:c r="E301" s="10" t="str">
        <x:v>A006</x:v>
      </x:c>
      <x:c r="F301" s="10" t="str">
        <x:v>A central Innflow node connected to a small set of tool tiles.</x:v>
      </x:c>
      <x:c r="G301" s="10" t="str">
        <x:v>Create</x:v>
      </x:c>
      <x:c r="H301" s="10" t="str">
        <x:f>'Production assets'!F11</x:f>
        <x:v>Not started</x:v>
      </x:c>
      <x:c r="I301" s="10" t="str">
        <x:v>Editable SVG + 1200 x 1000 WebP</x:v>
      </x:c>
      <x:c r="J301" s="10" t="str">
        <x:v>Generic star on gradient</x:v>
      </x:c>
      <x:c r="K301" s="10" t="str">
        <x:v>/brand/calendly/scheduling-hero.svg + star glyph</x:v>
      </x:c>
      <x:c r="L301" s="10" t="str">
        <x:v>227 x 189</x:v>
      </x:c>
      <x:c r="M301" s="10" t="str">
        <x:v>Sky blue, pale aqua, navy</x:v>
      </x:c>
      <x:c r="N301" s="10" t="str">
        <x:v>Create once and reuse across related-product cards and the Platform card rail. Keep the gradient separate.</x:v>
      </x:c>
      <x:c r="O301" s="10" t="str">
        <x:v>http://localhost:3000/platform/security-and-compliance</x:v>
      </x:c>
    </x:row>
    <x:row r="302" ht="38" customHeight="1">
      <x:c r="A302" s="5" t="str">
        <x:v>P16-21</x:v>
      </x:c>
      <x:c r="B302" s="5" t="str">
        <x:v>Security and Compliance</x:v>
      </x:c>
      <x:c r="C302" s="5" t="str">
        <x:v>Related product thumbnail</x:v>
      </x:c>
      <x:c r="D302" s="5" t="str">
        <x:v>Agentic Workflows</x:v>
      </x:c>
      <x:c r="E302" s="5" t="str">
        <x:v>A010</x:v>
      </x:c>
      <x:c r="F302" s="5" t="str">
        <x:v>A compact workflow canvas with trigger, branch and action nodes.</x:v>
      </x:c>
      <x:c r="G302" s="5" t="str">
        <x:v>Create</x:v>
      </x:c>
      <x:c r="H302" s="5" t="str">
        <x:f>'Production assets'!F15</x:f>
        <x:v>Not started</x:v>
      </x:c>
      <x:c r="I302" s="5" t="str">
        <x:v>Editable SVG + 1200 x 1000 WebP</x:v>
      </x:c>
      <x:c r="J302" s="5" t="str">
        <x:v>Generic star on gradient</x:v>
      </x:c>
      <x:c r="K302" s="5" t="str">
        <x:v>/brand/calendly/notetaker-hero.svg + star glyph</x:v>
      </x:c>
      <x:c r="L302" s="5" t="str">
        <x:v>227 x 189</x:v>
      </x:c>
      <x:c r="M302" s="5" t="str">
        <x:v>Navy, blue, blush, lavender</x:v>
      </x:c>
      <x:c r="N302" s="5" t="str">
        <x:v>Create once and reuse across related-product cards and the Platform card rail. Keep the gradient separate.</x:v>
      </x:c>
      <x:c r="O302" s="5" t="str">
        <x:v>http://localhost:3000/platform/security-and-compliance</x:v>
      </x:c>
    </x:row>
    <x:row r="303" ht="38" customHeight="1">
      <x:c r="A303" s="10" t="str">
        <x:v>P16-22</x:v>
      </x:c>
      <x:c r="B303" s="10" t="str">
        <x:v>Security and Compliance</x:v>
      </x:c>
      <x:c r="C303" s="10" t="str">
        <x:v>Related product thumbnail</x:v>
      </x:c>
      <x:c r="D303" s="10" t="str">
        <x:v>Agent OS</x:v>
      </x:c>
      <x:c r="E303" s="10" t="str">
        <x:v>A011</x:v>
      </x:c>
      <x:c r="F303" s="10" t="str">
        <x:v>A small orchestration graph connecting agents and shared memory.</x:v>
      </x:c>
      <x:c r="G303" s="10" t="str">
        <x:v>Create</x:v>
      </x:c>
      <x:c r="H303" s="10" t="str">
        <x:f>'Production assets'!F16</x:f>
        <x:v>Not started</x:v>
      </x:c>
      <x:c r="I303" s="10" t="str">
        <x:v>Editable SVG + 1200 x 1000 WebP</x:v>
      </x:c>
      <x:c r="J303" s="10" t="str">
        <x:v>Generic star on gradient</x:v>
      </x:c>
      <x:c r="K303" s="10" t="str">
        <x:v>/brand/calendly/contacts-hero.svg + star glyph</x:v>
      </x:c>
      <x:c r="L303" s="10" t="str">
        <x:v>227 x 189</x:v>
      </x:c>
      <x:c r="M303" s="10" t="str">
        <x:v>Cream, peach, pink, blue</x:v>
      </x:c>
      <x:c r="N303" s="10" t="str">
        <x:v>Create once and reuse across related-product cards and the Platform card rail. Keep the gradient separate.</x:v>
      </x:c>
      <x:c r="O303" s="10" t="str">
        <x:v>http://localhost:3000/platform/security-and-compliance</x:v>
      </x:c>
    </x:row>
    <x:row r="304" ht="38" customHeight="1">
      <x:c r="A304" s="5" t="str">
        <x:v>P16-23</x:v>
      </x:c>
      <x:c r="B304" s="5" t="str">
        <x:v>Security and Compliance</x:v>
      </x:c>
      <x:c r="C304" s="5" t="str">
        <x:v>Related product thumbnail</x:v>
      </x:c>
      <x:c r="D304" s="5" t="str">
        <x:v>AI Agents</x:v>
      </x:c>
      <x:c r="E304" s="5" t="str">
        <x:v>A012</x:v>
      </x:c>
      <x:c r="F304" s="5" t="str">
        <x:v>An agent task card with linked evidence and a proposed next action.</x:v>
      </x:c>
      <x:c r="G304" s="5" t="str">
        <x:v>Create</x:v>
      </x:c>
      <x:c r="H304" s="5" t="str">
        <x:f>'Production assets'!F17</x:f>
        <x:v>Not started</x:v>
      </x:c>
      <x:c r="I304" s="5" t="str">
        <x:v>Editable SVG + 1200 x 1000 WebP</x:v>
      </x:c>
      <x:c r="J304" s="5" t="str">
        <x:v>Generic star on gradient</x:v>
      </x:c>
      <x:c r="K304" s="5" t="str">
        <x:v>/brand/calendly/payments-hero.svg + star glyph</x:v>
      </x:c>
      <x:c r="L304" s="5" t="str">
        <x:v>227 x 189</x:v>
      </x:c>
      <x:c r="M304" s="5" t="str">
        <x:v>Pale mint, aqua, blue, navy</x:v>
      </x:c>
      <x:c r="N304" s="5" t="str">
        <x:v>Create once and reuse across related-product cards and the Platform card rail. Keep the gradient separate.</x:v>
      </x:c>
      <x:c r="O304" s="5" t="str">
        <x:v>http://localhost:3000/platform/security-and-compliance</x:v>
      </x:c>
    </x:row>
  </x:sheetData>
  <x:pageMargins left="0.7" right="0.7" top="0.75" bottom="0.75" header="0.3" footer="0.3"/>
  <x:tableParts count="1">
    <x:tablePart xmlns:r="http://schemas.openxmlformats.org/officeDocument/2006/relationships" r:id="Rcbc0c784c3b3449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4" hidden="0" customWidth="1"/>
    <x:col min="2" max="2" width="25" hidden="0" customWidth="1"/>
    <x:col min="3" max="3" width="24" hidden="0" customWidth="1"/>
    <x:col min="4" max="4" width="40" hidden="0" customWidth="1"/>
    <x:col min="5" max="5" width="12" hidden="0" customWidth="1"/>
    <x:col min="6" max="6" width="76" hidden="0" customWidth="1"/>
    <x:col min="7" max="7" width="14" hidden="0" customWidth="1"/>
    <x:col min="8" max="8" width="17" hidden="0" customWidth="1"/>
    <x:col min="9" max="9" width="40" hidden="0" customWidth="1"/>
    <x:col min="10" max="10" width="28" hidden="0" customWidth="1"/>
    <x:col min="11" max="11" width="65" hidden="0" customWidth="1"/>
    <x:col min="12" max="12" width="18" hidden="0" customWidth="1"/>
    <x:col min="13" max="13" width="30" hidden="0" customWidth="1"/>
    <x:col min="14" max="14" width="65" hidden="0" customWidth="1"/>
    <x:col min="15" max="15" width="6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>
      <x:c r="A2" s="2" t="str">
        <x:v>Platform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>
      <x:c r="A3" s="3" t="str">
        <x:v>/platform | Assistant reference. Status links to Production assets.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30" customHeight="1">
      <x:c r="A5" s="9" t="str">
        <x:v>Placement ID</x:v>
      </x:c>
      <x:c r="B5" s="9" t="str">
        <x:v>Page</x:v>
      </x:c>
      <x:c r="C5" s="9" t="str">
        <x:v>Section</x:v>
      </x:c>
      <x:c r="D5" s="9" t="str">
        <x:v>Section title</x:v>
      </x:c>
      <x:c r="E5" s="9" t="str">
        <x:v>Asset ID</x:v>
      </x:c>
      <x:c r="F5" s="9" t="str">
        <x:v>Recommended artwork</x:v>
      </x:c>
      <x:c r="G5" s="9" t="str">
        <x:v>Action</x:v>
      </x:c>
      <x:c r="H5" s="9" t="str">
        <x:v>Status</x:v>
      </x:c>
      <x:c r="I5" s="9" t="str">
        <x:v>Recommended deliverable</x:v>
      </x:c>
      <x:c r="J5" s="9" t="str">
        <x:v>Current artwork</x:v>
      </x:c>
      <x:c r="K5" s="9" t="str">
        <x:v>Current sources</x:v>
      </x:c>
      <x:c r="L5" s="9" t="str">
        <x:v>Desktop size (px)</x:v>
      </x:c>
      <x:c r="M5" s="9" t="str">
        <x:v>Gradient palette</x:v>
      </x:c>
      <x:c r="N5" s="9" t="str">
        <x:v>Reuse and crop notes</x:v>
      </x:c>
      <x:c r="O5" s="9" t="str">
        <x:v>Page reference</x:v>
      </x:c>
    </x:row>
    <x:row r="6" ht="38" customHeight="1">
      <x:c r="A6" s="5" t="str">
        <x:v>P01-01</x:v>
      </x:c>
      <x:c r="B6" s="5" t="str">
        <x:v>Platform</x:v>
      </x:c>
      <x:c r="C6" s="5" t="str">
        <x:v>Hero background</x:v>
      </x:c>
      <x:c r="D6" s="5" t="str">
        <x:v>Your operation, connected.</x:v>
      </x:c>
      <x:c r="E6" s="5" t="str">
        <x:v>A001</x:v>
      </x:c>
      <x:c r="F6" s="5" t="str">
        <x:v>Reuse the existing Paper SVG as a separate background layer. No new background required.</x:v>
      </x:c>
      <x:c r="G6" s="5" t="str">
        <x:v>Reuse</x:v>
      </x:c>
      <x:c r="H6" s="5" t="str">
        <x:f>'Production assets'!F6</x:f>
        <x:v>Existing</x:v>
      </x:c>
      <x:c r="I6" s="5" t="str">
        <x:v>Existing scalable SVG</x:v>
      </x:c>
      <x:c r="J6" s="5" t="str">
        <x:v>Existing background</x:v>
      </x:c>
      <x:c r="K6" s="5" t="str">
        <x:v>/brand/calendly/assistant-hero.svg</x:v>
      </x:c>
      <x:c r="L6" s="5" t="str">
        <x:v>1387 x 776</x:v>
      </x:c>
      <x:c r="M6" s="5" t="str">
        <x:v>Ice blue, white, teal, deep green</x:v>
      </x:c>
      <x:c r="N6" s="5" t="str">
        <x:v>Shared by every page using this style.</x:v>
      </x:c>
      <x:c r="O6" s="5" t="str">
        <x:v>http://localhost:3000/platform</x:v>
      </x:c>
    </x:row>
    <x:row r="7" ht="38" customHeight="1">
      <x:c r="A7" s="10" t="str">
        <x:v>P01-02</x:v>
      </x:c>
      <x:c r="B7" s="10" t="str">
        <x:v>Platform</x:v>
      </x:c>
      <x:c r="C7" s="10" t="str">
        <x:v>Feature card</x:v>
      </x:c>
      <x:c r="D7" s="10" t="str">
        <x:v>Agentic Automation</x:v>
      </x:c>
      <x:c r="E7" s="10" t="str">
        <x:v>A002</x:v>
      </x:c>
      <x:c r="F7" s="10" t="str">
        <x:v>A request routed through an agent, a tool action and a review gate.</x:v>
      </x:c>
      <x:c r="G7" s="10" t="str">
        <x:v>Create</x:v>
      </x:c>
      <x:c r="H7" s="10" t="str">
        <x:f>'Production assets'!F7</x:f>
        <x:v>Not started</x:v>
      </x:c>
      <x:c r="I7" s="10" t="str">
        <x:v>Editable SVG + 1200 x 1000 WebP</x:v>
      </x:c>
      <x:c r="J7" s="10" t="str">
        <x:v>Text placeholder</x:v>
      </x:c>
      <x:c r="K7" s="10" t="str">
        <x:v>CSS gradient + live UI</x:v>
      </x:c>
      <x:c r="L7" s="10" t="str">
        <x:v>320 x 267</x:v>
      </x:c>
      <x:c r="M7" s="10" t="str">
        <x:v>Ice blue, white, teal, deep green</x:v>
      </x:c>
      <x:c r="N7" s="10" t="str">
        <x:v>Create once and reuse across related-product cards and the Platform card rail. Keep the gradient separate.</x:v>
      </x:c>
      <x:c r="O7" s="10" t="str">
        <x:v>http://localhost:3000/platform</x:v>
      </x:c>
    </x:row>
    <x:row r="8" ht="38" customHeight="1">
      <x:c r="A8" s="5" t="str">
        <x:v>P01-03</x:v>
      </x:c>
      <x:c r="B8" s="5" t="str">
        <x:v>Platform</x:v>
      </x:c>
      <x:c r="C8" s="5" t="str">
        <x:v>Feature card</x:v>
      </x:c>
      <x:c r="D8" s="5" t="str">
        <x:v>Self Learning</x:v>
      </x:c>
      <x:c r="E8" s="5" t="str">
        <x:v>A003</x:v>
      </x:c>
      <x:c r="F8" s="5" t="str">
        <x:v>A feedback card feeding a revised workflow and validation check.</x:v>
      </x:c>
      <x:c r="G8" s="5" t="str">
        <x:v>Create</x:v>
      </x:c>
      <x:c r="H8" s="5" t="str">
        <x:f>'Production assets'!F8</x:f>
        <x:v>Not started</x:v>
      </x:c>
      <x:c r="I8" s="5" t="str">
        <x:v>Editable SVG + 1200 x 1000 WebP</x:v>
      </x:c>
      <x:c r="J8" s="5" t="str">
        <x:v>Text placeholder</x:v>
      </x:c>
      <x:c r="K8" s="5" t="str">
        <x:v>CSS gradient + live UI</x:v>
      </x:c>
      <x:c r="L8" s="5" t="str">
        <x:v>320 x 267</x:v>
      </x:c>
      <x:c r="M8" s="5" t="str">
        <x:v>Ice blue, white, teal, deep green</x:v>
      </x:c>
      <x:c r="N8" s="5" t="str">
        <x:v>Create once and reuse across related-product cards and the Platform card rail. Keep the gradient separate.</x:v>
      </x:c>
      <x:c r="O8" s="5" t="str">
        <x:v>http://localhost:3000/platform</x:v>
      </x:c>
    </x:row>
    <x:row r="9" ht="38" customHeight="1">
      <x:c r="A9" s="10" t="str">
        <x:v>P01-04</x:v>
      </x:c>
      <x:c r="B9" s="10" t="str">
        <x:v>Platform</x:v>
      </x:c>
      <x:c r="C9" s="10" t="str">
        <x:v>Feature card</x:v>
      </x:c>
      <x:c r="D9" s="10" t="str">
        <x:v>Evaluations</x:v>
      </x:c>
      <x:c r="E9" s="10" t="str">
        <x:v>A004</x:v>
      </x:c>
      <x:c r="F9" s="10" t="str">
        <x:v>An expected-versus-actual result card with a review checklist.</x:v>
      </x:c>
      <x:c r="G9" s="10" t="str">
        <x:v>Create</x:v>
      </x:c>
      <x:c r="H9" s="10" t="str">
        <x:f>'Production assets'!F9</x:f>
        <x:v>Not started</x:v>
      </x:c>
      <x:c r="I9" s="10" t="str">
        <x:v>Editable SVG + 1200 x 1000 WebP</x:v>
      </x:c>
      <x:c r="J9" s="10" t="str">
        <x:v>Text placeholder</x:v>
      </x:c>
      <x:c r="K9" s="10" t="str">
        <x:v>CSS gradient + live UI</x:v>
      </x:c>
      <x:c r="L9" s="10" t="str">
        <x:v>320 x 267</x:v>
      </x:c>
      <x:c r="M9" s="10" t="str">
        <x:v>Ice blue, white, teal, deep green</x:v>
      </x:c>
      <x:c r="N9" s="10" t="str">
        <x:v>Create once and reuse across related-product cards and the Platform card rail. Keep the gradient separate.</x:v>
      </x:c>
      <x:c r="O9" s="10" t="str">
        <x:v>http://localhost:3000/platform</x:v>
      </x:c>
    </x:row>
    <x:row r="10" ht="38" customHeight="1">
      <x:c r="A10" s="5" t="str">
        <x:v>P01-05</x:v>
      </x:c>
      <x:c r="B10" s="5" t="str">
        <x:v>Platform</x:v>
      </x:c>
      <x:c r="C10" s="5" t="str">
        <x:v>Feature card</x:v>
      </x:c>
      <x:c r="D10" s="5" t="str">
        <x:v>Analytics and Observability</x:v>
      </x:c>
      <x:c r="E10" s="5" t="str">
        <x:v>A005</x:v>
      </x:c>
      <x:c r="F10" s="5" t="str">
        <x:v>A miniature trace timeline and workflow health dashboard.</x:v>
      </x:c>
      <x:c r="G10" s="5" t="str">
        <x:v>Create</x:v>
      </x:c>
      <x:c r="H10" s="5" t="str">
        <x:f>'Production assets'!F10</x:f>
        <x:v>Not started</x:v>
      </x:c>
      <x:c r="I10" s="5" t="str">
        <x:v>Editable SVG + 1200 x 1000 WebP</x:v>
      </x:c>
      <x:c r="J10" s="5" t="str">
        <x:v>Text placeholder</x:v>
      </x:c>
      <x:c r="K10" s="5" t="str">
        <x:v>CSS gradient + live UI</x:v>
      </x:c>
      <x:c r="L10" s="5" t="str">
        <x:v>320 x 267</x:v>
      </x:c>
      <x:c r="M10" s="5" t="str">
        <x:v>Ice blue, white, teal, deep green</x:v>
      </x:c>
      <x:c r="N10" s="5" t="str">
        <x:v>Create once and reuse across related-product cards and the Platform card rail. Keep the gradient separate.</x:v>
      </x:c>
      <x:c r="O10" s="5" t="str">
        <x:v>http://localhost:3000/platform</x:v>
      </x:c>
    </x:row>
    <x:row r="11" ht="38" customHeight="1">
      <x:c r="A11" s="10" t="str">
        <x:v>P01-06</x:v>
      </x:c>
      <x:c r="B11" s="10" t="str">
        <x:v>Platform</x:v>
      </x:c>
      <x:c r="C11" s="10" t="str">
        <x:v>Feature card</x:v>
      </x:c>
      <x:c r="D11" s="10" t="str">
        <x:v>Integrations</x:v>
      </x:c>
      <x:c r="E11" s="10" t="str">
        <x:v>A006</x:v>
      </x:c>
      <x:c r="F11" s="10" t="str">
        <x:v>A central Innflow node connected to a small set of tool tiles.</x:v>
      </x:c>
      <x:c r="G11" s="10" t="str">
        <x:v>Create</x:v>
      </x:c>
      <x:c r="H11" s="10" t="str">
        <x:f>'Production assets'!F11</x:f>
        <x:v>Not started</x:v>
      </x:c>
      <x:c r="I11" s="10" t="str">
        <x:v>Editable SVG + 1200 x 1000 WebP</x:v>
      </x:c>
      <x:c r="J11" s="10" t="str">
        <x:v>Text placeholder</x:v>
      </x:c>
      <x:c r="K11" s="10" t="str">
        <x:v>CSS gradient + live UI</x:v>
      </x:c>
      <x:c r="L11" s="10" t="str">
        <x:v>320 x 267</x:v>
      </x:c>
      <x:c r="M11" s="10" t="str">
        <x:v>Ice blue, white, teal, deep green</x:v>
      </x:c>
      <x:c r="N11" s="10" t="str">
        <x:v>Create once and reuse across related-product cards and the Platform card rail. Keep the gradient separate.</x:v>
      </x:c>
      <x:c r="O11" s="10" t="str">
        <x:v>http://localhost:3000/platform</x:v>
      </x:c>
    </x:row>
    <x:row r="12" ht="38" customHeight="1">
      <x:c r="A12" s="5" t="str">
        <x:v>P01-07</x:v>
      </x:c>
      <x:c r="B12" s="5" t="str">
        <x:v>Platform</x:v>
      </x:c>
      <x:c r="C12" s="5" t="str">
        <x:v>Feature card</x:v>
      </x:c>
      <x:c r="D12" s="5" t="str">
        <x:v>Deployment Options</x:v>
      </x:c>
      <x:c r="E12" s="5" t="str">
        <x:v>A007</x:v>
      </x:c>
      <x:c r="F12" s="5" t="str">
        <x:v>A deployment chooser with hosted, private and on-premise architecture tiles.</x:v>
      </x:c>
      <x:c r="G12" s="5" t="str">
        <x:v>Create</x:v>
      </x:c>
      <x:c r="H12" s="5" t="str">
        <x:f>'Production assets'!F12</x:f>
        <x:v>Not started</x:v>
      </x:c>
      <x:c r="I12" s="5" t="str">
        <x:v>Editable SVG + 1200 x 1000 WebP</x:v>
      </x:c>
      <x:c r="J12" s="5" t="str">
        <x:v>Text placeholder</x:v>
      </x:c>
      <x:c r="K12" s="5" t="str">
        <x:v>CSS gradient + live UI</x:v>
      </x:c>
      <x:c r="L12" s="5" t="str">
        <x:v>320 x 267</x:v>
      </x:c>
      <x:c r="M12" s="5" t="str">
        <x:v>Ice blue, white, teal, deep green</x:v>
      </x:c>
      <x:c r="N12" s="5" t="str">
        <x:v>Create once and reuse across related-product cards and the Platform card rail. Keep the gradient separate.</x:v>
      </x:c>
      <x:c r="O12" s="5" t="str">
        <x:v>http://localhost:3000/platform</x:v>
      </x:c>
    </x:row>
    <x:row r="13" ht="38" customHeight="1">
      <x:c r="A13" s="10" t="str">
        <x:v>P01-08</x:v>
      </x:c>
      <x:c r="B13" s="10" t="str">
        <x:v>Platform</x:v>
      </x:c>
      <x:c r="C13" s="10" t="str">
        <x:v>Feature card</x:v>
      </x:c>
      <x:c r="D13" s="10" t="str">
        <x:v>Security and Compliance</x:v>
      </x:c>
      <x:c r="E13" s="10" t="str">
        <x:v>A008</x:v>
      </x:c>
      <x:c r="F13" s="10" t="str">
        <x:v>A scoped-access panel beside an audit record and evidence folder.</x:v>
      </x:c>
      <x:c r="G13" s="10" t="str">
        <x:v>Create</x:v>
      </x:c>
      <x:c r="H13" s="10" t="str">
        <x:f>'Production assets'!F13</x:f>
        <x:v>Not started</x:v>
      </x:c>
      <x:c r="I13" s="10" t="str">
        <x:v>Editable SVG + 1200 x 1000 WebP</x:v>
      </x:c>
      <x:c r="J13" s="10" t="str">
        <x:v>Text placeholder</x:v>
      </x:c>
      <x:c r="K13" s="10" t="str">
        <x:v>CSS gradient + live UI</x:v>
      </x:c>
      <x:c r="L13" s="10" t="str">
        <x:v>320 x 267</x:v>
      </x:c>
      <x:c r="M13" s="10" t="str">
        <x:v>Ice blue, white, teal, deep green</x:v>
      </x:c>
      <x:c r="N13" s="10" t="str">
        <x:v>Create once and reuse across related-product cards and the Platform card rail. Keep the gradient separate.</x:v>
      </x:c>
      <x:c r="O13" s="10" t="str">
        <x:v>http://localhost:3000/platform</x:v>
      </x:c>
    </x:row>
    <x:row r="14" ht="38" customHeight="1">
      <x:c r="A14" s="5" t="str">
        <x:v>P01-09</x:v>
      </x:c>
      <x:c r="B14" s="5" t="str">
        <x:v>Platform</x:v>
      </x:c>
      <x:c r="C14" s="5" t="str">
        <x:v>Product overview</x:v>
      </x:c>
      <x:c r="D14" s="5" t="str">
        <x:v>Your operation, connected.</x:v>
      </x:c>
      <x:c r="E14" s="5" t="str">
        <x:v>A009</x:v>
      </x:c>
      <x:c r="F14" s="5" t="str">
        <x:v>Retain the existing interactive workspace. Optional static poster only if a still image is needed.</x:v>
      </x:c>
      <x:c r="G14" s="5" t="str">
        <x:v>Reuse</x:v>
      </x:c>
      <x:c r="H14" s="5" t="str">
        <x:f>'Production assets'!F14</x:f>
        <x:v>Existing</x:v>
      </x:c>
      <x:c r="I14" s="5" t="str">
        <x:v>Live component; optional 1920 px wide poster</x:v>
      </x:c>
      <x:c r="J14" s="5" t="str">
        <x:v>Interactive workspace</x:v>
      </x:c>
      <x:c r="K14" s="5" t="str">
        <x:v>CSS gradient + live UI</x:v>
      </x:c>
      <x:c r="L14" s="5" t="str">
        <x:v>960 x 678</x:v>
      </x:c>
      <x:c r="M14" s="5" t="str">
        <x:v>Ice blue, white, teal, deep green</x:v>
      </x:c>
      <x:c r="N14" s="5" t="str">
        <x:v>Do not replace working controls with a flattened image.</x:v>
      </x:c>
      <x:c r="O14" s="5" t="str">
        <x:v>http://localhost:3000/platform</x:v>
      </x:c>
    </x:row>
    <x:row r="15" ht="38" customHeight="1">
      <x:c r="A15" s="10" t="str">
        <x:v>P01-10</x:v>
      </x:c>
      <x:c r="B15" s="10" t="str">
        <x:v>Platform</x:v>
      </x:c>
      <x:c r="C15" s="10" t="str">
        <x:v>Related product thumbnail</x:v>
      </x:c>
      <x:c r="D15" s="10" t="str">
        <x:v>Integrations</x:v>
      </x:c>
      <x:c r="E15" s="10" t="str">
        <x:v>A006</x:v>
      </x:c>
      <x:c r="F15" s="10" t="str">
        <x:v>A central Innflow node connected to a small set of tool tiles.</x:v>
      </x:c>
      <x:c r="G15" s="10" t="str">
        <x:v>Create</x:v>
      </x:c>
      <x:c r="H15" s="10" t="str">
        <x:f>'Production assets'!F11</x:f>
        <x:v>Not started</x:v>
      </x:c>
      <x:c r="I15" s="10" t="str">
        <x:v>Editable SVG + 1200 x 1000 WebP</x:v>
      </x:c>
      <x:c r="J15" s="10" t="str">
        <x:v>Generic star on gradient</x:v>
      </x:c>
      <x:c r="K15" s="10" t="str">
        <x:v>/brand/calendly/scheduling-hero.svg + star glyph</x:v>
      </x:c>
      <x:c r="L15" s="10" t="str">
        <x:v>227 x 189</x:v>
      </x:c>
      <x:c r="M15" s="10" t="str">
        <x:v>Sky blue, pale aqua, navy</x:v>
      </x:c>
      <x:c r="N15" s="10" t="str">
        <x:v>Create once and reuse across related-product cards and the Platform card rail. Keep the gradient separate.</x:v>
      </x:c>
      <x:c r="O15" s="10" t="str">
        <x:v>http://localhost:3000/platform</x:v>
      </x:c>
    </x:row>
    <x:row r="16" ht="38" customHeight="1">
      <x:c r="A16" s="5" t="str">
        <x:v>P01-11</x:v>
      </x:c>
      <x:c r="B16" s="5" t="str">
        <x:v>Platform</x:v>
      </x:c>
      <x:c r="C16" s="5" t="str">
        <x:v>Related product thumbnail</x:v>
      </x:c>
      <x:c r="D16" s="5" t="str">
        <x:v>Agentic Workflows</x:v>
      </x:c>
      <x:c r="E16" s="5" t="str">
        <x:v>A010</x:v>
      </x:c>
      <x:c r="F16" s="5" t="str">
        <x:v>A compact workflow canvas with trigger, branch and action nodes.</x:v>
      </x:c>
      <x:c r="G16" s="5" t="str">
        <x:v>Create</x:v>
      </x:c>
      <x:c r="H16" s="5" t="str">
        <x:f>'Production assets'!F15</x:f>
        <x:v>Not started</x:v>
      </x:c>
      <x:c r="I16" s="5" t="str">
        <x:v>Editable SVG + 1200 x 1000 WebP</x:v>
      </x:c>
      <x:c r="J16" s="5" t="str">
        <x:v>Generic star on gradient</x:v>
      </x:c>
      <x:c r="K16" s="5" t="str">
        <x:v>/brand/calendly/notetaker-hero.svg + star glyph</x:v>
      </x:c>
      <x:c r="L16" s="5" t="str">
        <x:v>227 x 189</x:v>
      </x:c>
      <x:c r="M16" s="5" t="str">
        <x:v>Navy, blue, blush, lavender</x:v>
      </x:c>
      <x:c r="N16" s="5" t="str">
        <x:v>Create once and reuse across related-product cards and the Platform card rail. Keep the gradient separate.</x:v>
      </x:c>
      <x:c r="O16" s="5" t="str">
        <x:v>http://localhost:3000/platform</x:v>
      </x:c>
    </x:row>
    <x:row r="17" ht="38" customHeight="1">
      <x:c r="A17" s="10" t="str">
        <x:v>P01-12</x:v>
      </x:c>
      <x:c r="B17" s="10" t="str">
        <x:v>Platform</x:v>
      </x:c>
      <x:c r="C17" s="10" t="str">
        <x:v>Related product thumbnail</x:v>
      </x:c>
      <x:c r="D17" s="10" t="str">
        <x:v>Agent OS</x:v>
      </x:c>
      <x:c r="E17" s="10" t="str">
        <x:v>A011</x:v>
      </x:c>
      <x:c r="F17" s="10" t="str">
        <x:v>A small orchestration graph connecting agents and shared memory.</x:v>
      </x:c>
      <x:c r="G17" s="10" t="str">
        <x:v>Create</x:v>
      </x:c>
      <x:c r="H17" s="10" t="str">
        <x:f>'Production assets'!F16</x:f>
        <x:v>Not started</x:v>
      </x:c>
      <x:c r="I17" s="10" t="str">
        <x:v>Editable SVG + 1200 x 1000 WebP</x:v>
      </x:c>
      <x:c r="J17" s="10" t="str">
        <x:v>Generic star on gradient</x:v>
      </x:c>
      <x:c r="K17" s="10" t="str">
        <x:v>/brand/calendly/contacts-hero.svg + star glyph</x:v>
      </x:c>
      <x:c r="L17" s="10" t="str">
        <x:v>227 x 189</x:v>
      </x:c>
      <x:c r="M17" s="10" t="str">
        <x:v>Cream, peach, pink, blue</x:v>
      </x:c>
      <x:c r="N17" s="10" t="str">
        <x:v>Create once and reuse across related-product cards and the Platform card rail. Keep the gradient separate.</x:v>
      </x:c>
      <x:c r="O17" s="10" t="str">
        <x:v>http://localhost:3000/platform</x:v>
      </x:c>
    </x:row>
    <x:row r="18" ht="38" customHeight="1">
      <x:c r="A18" s="5" t="str">
        <x:v>P01-13</x:v>
      </x:c>
      <x:c r="B18" s="5" t="str">
        <x:v>Platform</x:v>
      </x:c>
      <x:c r="C18" s="5" t="str">
        <x:v>Related product thumbnail</x:v>
      </x:c>
      <x:c r="D18" s="5" t="str">
        <x:v>AI Agents</x:v>
      </x:c>
      <x:c r="E18" s="5" t="str">
        <x:v>A012</x:v>
      </x:c>
      <x:c r="F18" s="5" t="str">
        <x:v>An agent task card with linked evidence and a proposed next action.</x:v>
      </x:c>
      <x:c r="G18" s="5" t="str">
        <x:v>Create</x:v>
      </x:c>
      <x:c r="H18" s="5" t="str">
        <x:f>'Production assets'!F17</x:f>
        <x:v>Not started</x:v>
      </x:c>
      <x:c r="I18" s="5" t="str">
        <x:v>Editable SVG + 1200 x 1000 WebP</x:v>
      </x:c>
      <x:c r="J18" s="5" t="str">
        <x:v>Generic star on gradient</x:v>
      </x:c>
      <x:c r="K18" s="5" t="str">
        <x:v>/brand/calendly/payments-hero.svg + star glyph</x:v>
      </x:c>
      <x:c r="L18" s="5" t="str">
        <x:v>227 x 189</x:v>
      </x:c>
      <x:c r="M18" s="5" t="str">
        <x:v>Pale mint, aqua, blue, navy</x:v>
      </x:c>
      <x:c r="N18" s="5" t="str">
        <x:v>Create once and reuse across related-product cards and the Platform card rail. Keep the gradient separate.</x:v>
      </x:c>
      <x:c r="O18" s="5" t="str">
        <x:v>http://localhost:3000/platform</x:v>
      </x:c>
    </x:row>
    <x:row r="19" ht="38" customHeight="1">
      <x:c r="A19" s="10" t="str">
        <x:v>P01-14</x:v>
      </x:c>
      <x:c r="B19" s="10" t="str">
        <x:v>Platform</x:v>
      </x:c>
      <x:c r="C19" s="10" t="str">
        <x:v>Related product thumbnail</x:v>
      </x:c>
      <x:c r="D19" s="10" t="str">
        <x:v>Agent Studio</x:v>
      </x:c>
      <x:c r="E19" s="10" t="str">
        <x:v>A013</x:v>
      </x:c>
      <x:c r="F19" s="10" t="str">
        <x:v>A miniature visual editor with configurable workflow nodes.</x:v>
      </x:c>
      <x:c r="G19" s="10" t="str">
        <x:v>Create</x:v>
      </x:c>
      <x:c r="H19" s="10" t="str">
        <x:f>'Production assets'!F18</x:f>
        <x:v>Not started</x:v>
      </x:c>
      <x:c r="I19" s="10" t="str">
        <x:v>Editable SVG + 1200 x 1000 WebP</x:v>
      </x:c>
      <x:c r="J19" s="10" t="str">
        <x:v>Generic star on gradient</x:v>
      </x:c>
      <x:c r="K19" s="10" t="str">
        <x:v>/brand/calendly/assistant-hero.svg + star glyph</x:v>
      </x:c>
      <x:c r="L19" s="10" t="str">
        <x:v>227 x 189</x:v>
      </x:c>
      <x:c r="M19" s="10" t="str">
        <x:v>Ice blue, white, teal, deep green</x:v>
      </x:c>
      <x:c r="N19" s="10" t="str">
        <x:v>Create once and reuse across related-product cards and the Platform card rail. Keep the gradient separate.</x:v>
      </x:c>
      <x:c r="O19" s="10" t="str">
        <x:v>http://localhost:3000/platform</x:v>
      </x:c>
    </x:row>
  </x:sheetData>
  <x:pageMargins left="0.7" right="0.7" top="0.75" bottom="0.75" header="0.3" footer="0.3"/>
  <x:tableParts count="1">
    <x:tablePart xmlns:r="http://schemas.openxmlformats.org/officeDocument/2006/relationships" r:id="R34d30a7ccb54498d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4" hidden="0" customWidth="1"/>
    <x:col min="2" max="2" width="25" hidden="0" customWidth="1"/>
    <x:col min="3" max="3" width="24" hidden="0" customWidth="1"/>
    <x:col min="4" max="4" width="40" hidden="0" customWidth="1"/>
    <x:col min="5" max="5" width="12" hidden="0" customWidth="1"/>
    <x:col min="6" max="6" width="76" hidden="0" customWidth="1"/>
    <x:col min="7" max="7" width="14" hidden="0" customWidth="1"/>
    <x:col min="8" max="8" width="17" hidden="0" customWidth="1"/>
    <x:col min="9" max="9" width="40" hidden="0" customWidth="1"/>
    <x:col min="10" max="10" width="28" hidden="0" customWidth="1"/>
    <x:col min="11" max="11" width="65" hidden="0" customWidth="1"/>
    <x:col min="12" max="12" width="18" hidden="0" customWidth="1"/>
    <x:col min="13" max="13" width="30" hidden="0" customWidth="1"/>
    <x:col min="14" max="14" width="65" hidden="0" customWidth="1"/>
    <x:col min="15" max="15" width="6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>
      <x:c r="A2" s="2" t="str">
        <x:v>Integrations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>
      <x:c r="A3" s="3" t="str">
        <x:v>/integrations | Scheduling reference. Status links to Production assets.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30" customHeight="1">
      <x:c r="A5" s="9" t="str">
        <x:v>Placement ID</x:v>
      </x:c>
      <x:c r="B5" s="9" t="str">
        <x:v>Page</x:v>
      </x:c>
      <x:c r="C5" s="9" t="str">
        <x:v>Section</x:v>
      </x:c>
      <x:c r="D5" s="9" t="str">
        <x:v>Section title</x:v>
      </x:c>
      <x:c r="E5" s="9" t="str">
        <x:v>Asset ID</x:v>
      </x:c>
      <x:c r="F5" s="9" t="str">
        <x:v>Recommended artwork</x:v>
      </x:c>
      <x:c r="G5" s="9" t="str">
        <x:v>Action</x:v>
      </x:c>
      <x:c r="H5" s="9" t="str">
        <x:v>Status</x:v>
      </x:c>
      <x:c r="I5" s="9" t="str">
        <x:v>Recommended deliverable</x:v>
      </x:c>
      <x:c r="J5" s="9" t="str">
        <x:v>Current artwork</x:v>
      </x:c>
      <x:c r="K5" s="9" t="str">
        <x:v>Current sources</x:v>
      </x:c>
      <x:c r="L5" s="9" t="str">
        <x:v>Desktop size (px)</x:v>
      </x:c>
      <x:c r="M5" s="9" t="str">
        <x:v>Gradient palette</x:v>
      </x:c>
      <x:c r="N5" s="9" t="str">
        <x:v>Reuse and crop notes</x:v>
      </x:c>
      <x:c r="O5" s="9" t="str">
        <x:v>Page reference</x:v>
      </x:c>
    </x:row>
    <x:row r="6" ht="38" customHeight="1">
      <x:c r="A6" s="5" t="str">
        <x:v>P02-01</x:v>
      </x:c>
      <x:c r="B6" s="5" t="str">
        <x:v>Integrations</x:v>
      </x:c>
      <x:c r="C6" s="5" t="str">
        <x:v>Hero background</x:v>
      </x:c>
      <x:c r="D6" s="5" t="str">
        <x:v>Your tools. One connected workflow.</x:v>
      </x:c>
      <x:c r="E6" s="5" t="str">
        <x:v>A014</x:v>
      </x:c>
      <x:c r="F6" s="5" t="str">
        <x:v>Reuse the existing Paper SVG as a separate background layer. No new background required.</x:v>
      </x:c>
      <x:c r="G6" s="5" t="str">
        <x:v>Reuse</x:v>
      </x:c>
      <x:c r="H6" s="5" t="str">
        <x:f>'Production assets'!F19</x:f>
        <x:v>Existing</x:v>
      </x:c>
      <x:c r="I6" s="5" t="str">
        <x:v>Existing scalable SVG</x:v>
      </x:c>
      <x:c r="J6" s="5" t="str">
        <x:v>Existing background</x:v>
      </x:c>
      <x:c r="K6" s="5" t="str">
        <x:v>/brand/calendly/scheduling-hero.svg</x:v>
      </x:c>
      <x:c r="L6" s="5" t="str">
        <x:v>1387 x 776</x:v>
      </x:c>
      <x:c r="M6" s="5" t="str">
        <x:v>Sky blue, pale aqua, navy</x:v>
      </x:c>
      <x:c r="N6" s="5" t="str">
        <x:v>Shared by every page using this style.</x:v>
      </x:c>
      <x:c r="O6" s="5" t="str">
        <x:v>http://localhost:3000/integrations</x:v>
      </x:c>
    </x:row>
    <x:row r="7" ht="38" customHeight="1">
      <x:c r="A7" s="10" t="str">
        <x:v>P02-02</x:v>
      </x:c>
      <x:c r="B7" s="10" t="str">
        <x:v>Integrations</x:v>
      </x:c>
      <x:c r="C7" s="10" t="str">
        <x:v>Related product thumbnail</x:v>
      </x:c>
      <x:c r="D7" s="10" t="str">
        <x:v>Platform</x:v>
      </x:c>
      <x:c r="E7" s="10" t="str">
        <x:v>A015</x:v>
      </x:c>
      <x:c r="F7" s="10" t="str">
        <x:v>A compact workspace overview linking agents, tools and shared knowledge.</x:v>
      </x:c>
      <x:c r="G7" s="10" t="str">
        <x:v>Create</x:v>
      </x:c>
      <x:c r="H7" s="10" t="str">
        <x:f>'Production assets'!F20</x:f>
        <x:v>Not started</x:v>
      </x:c>
      <x:c r="I7" s="10" t="str">
        <x:v>Editable SVG + 1200 x 1000 WebP</x:v>
      </x:c>
      <x:c r="J7" s="10" t="str">
        <x:v>Generic star on gradient</x:v>
      </x:c>
      <x:c r="K7" s="10" t="str">
        <x:v>/brand/calendly/assistant-hero.svg + star glyph</x:v>
      </x:c>
      <x:c r="L7" s="10" t="str">
        <x:v>227 x 189</x:v>
      </x:c>
      <x:c r="M7" s="10" t="str">
        <x:v>Ice blue, white, teal, deep green</x:v>
      </x:c>
      <x:c r="N7" s="10" t="str">
        <x:v>Create once and reuse across related-product cards and the Platform card rail. Keep the gradient separate.</x:v>
      </x:c>
      <x:c r="O7" s="10" t="str">
        <x:v>http://localhost:3000/integrations</x:v>
      </x:c>
    </x:row>
    <x:row r="8" ht="38" customHeight="1">
      <x:c r="A8" s="5" t="str">
        <x:v>P02-03</x:v>
      </x:c>
      <x:c r="B8" s="5" t="str">
        <x:v>Integrations</x:v>
      </x:c>
      <x:c r="C8" s="5" t="str">
        <x:v>Related product thumbnail</x:v>
      </x:c>
      <x:c r="D8" s="5" t="str">
        <x:v>Agentic Workflows</x:v>
      </x:c>
      <x:c r="E8" s="5" t="str">
        <x:v>A010</x:v>
      </x:c>
      <x:c r="F8" s="5" t="str">
        <x:v>A compact workflow canvas with trigger, branch and action nodes.</x:v>
      </x:c>
      <x:c r="G8" s="5" t="str">
        <x:v>Create</x:v>
      </x:c>
      <x:c r="H8" s="5" t="str">
        <x:f>'Production assets'!F15</x:f>
        <x:v>Not started</x:v>
      </x:c>
      <x:c r="I8" s="5" t="str">
        <x:v>Editable SVG + 1200 x 1000 WebP</x:v>
      </x:c>
      <x:c r="J8" s="5" t="str">
        <x:v>Generic star on gradient</x:v>
      </x:c>
      <x:c r="K8" s="5" t="str">
        <x:v>/brand/calendly/notetaker-hero.svg + star glyph</x:v>
      </x:c>
      <x:c r="L8" s="5" t="str">
        <x:v>227 x 189</x:v>
      </x:c>
      <x:c r="M8" s="5" t="str">
        <x:v>Navy, blue, blush, lavender</x:v>
      </x:c>
      <x:c r="N8" s="5" t="str">
        <x:v>Create once and reuse across related-product cards and the Platform card rail. Keep the gradient separate.</x:v>
      </x:c>
      <x:c r="O8" s="5" t="str">
        <x:v>http://localhost:3000/integrations</x:v>
      </x:c>
    </x:row>
    <x:row r="9" ht="38" customHeight="1">
      <x:c r="A9" s="10" t="str">
        <x:v>P02-04</x:v>
      </x:c>
      <x:c r="B9" s="10" t="str">
        <x:v>Integrations</x:v>
      </x:c>
      <x:c r="C9" s="10" t="str">
        <x:v>Related product thumbnail</x:v>
      </x:c>
      <x:c r="D9" s="10" t="str">
        <x:v>Agent OS</x:v>
      </x:c>
      <x:c r="E9" s="10" t="str">
        <x:v>A011</x:v>
      </x:c>
      <x:c r="F9" s="10" t="str">
        <x:v>A small orchestration graph connecting agents and shared memory.</x:v>
      </x:c>
      <x:c r="G9" s="10" t="str">
        <x:v>Create</x:v>
      </x:c>
      <x:c r="H9" s="10" t="str">
        <x:f>'Production assets'!F16</x:f>
        <x:v>Not started</x:v>
      </x:c>
      <x:c r="I9" s="10" t="str">
        <x:v>Editable SVG + 1200 x 1000 WebP</x:v>
      </x:c>
      <x:c r="J9" s="10" t="str">
        <x:v>Generic star on gradient</x:v>
      </x:c>
      <x:c r="K9" s="10" t="str">
        <x:v>/brand/calendly/contacts-hero.svg + star glyph</x:v>
      </x:c>
      <x:c r="L9" s="10" t="str">
        <x:v>227 x 189</x:v>
      </x:c>
      <x:c r="M9" s="10" t="str">
        <x:v>Cream, peach, pink, blue</x:v>
      </x:c>
      <x:c r="N9" s="10" t="str">
        <x:v>Create once and reuse across related-product cards and the Platform card rail. Keep the gradient separate.</x:v>
      </x:c>
      <x:c r="O9" s="10" t="str">
        <x:v>http://localhost:3000/integrations</x:v>
      </x:c>
    </x:row>
    <x:row r="10" ht="38" customHeight="1">
      <x:c r="A10" s="5" t="str">
        <x:v>P02-05</x:v>
      </x:c>
      <x:c r="B10" s="5" t="str">
        <x:v>Integrations</x:v>
      </x:c>
      <x:c r="C10" s="5" t="str">
        <x:v>Related product thumbnail</x:v>
      </x:c>
      <x:c r="D10" s="5" t="str">
        <x:v>AI Agents</x:v>
      </x:c>
      <x:c r="E10" s="5" t="str">
        <x:v>A012</x:v>
      </x:c>
      <x:c r="F10" s="5" t="str">
        <x:v>An agent task card with linked evidence and a proposed next action.</x:v>
      </x:c>
      <x:c r="G10" s="5" t="str">
        <x:v>Create</x:v>
      </x:c>
      <x:c r="H10" s="5" t="str">
        <x:f>'Production assets'!F17</x:f>
        <x:v>Not started</x:v>
      </x:c>
      <x:c r="I10" s="5" t="str">
        <x:v>Editable SVG + 1200 x 1000 WebP</x:v>
      </x:c>
      <x:c r="J10" s="5" t="str">
        <x:v>Generic star on gradient</x:v>
      </x:c>
      <x:c r="K10" s="5" t="str">
        <x:v>/brand/calendly/payments-hero.svg + star glyph</x:v>
      </x:c>
      <x:c r="L10" s="5" t="str">
        <x:v>227 x 189</x:v>
      </x:c>
      <x:c r="M10" s="5" t="str">
        <x:v>Pale mint, aqua, blue, navy</x:v>
      </x:c>
      <x:c r="N10" s="5" t="str">
        <x:v>Create once and reuse across related-product cards and the Platform card rail. Keep the gradient separate.</x:v>
      </x:c>
      <x:c r="O10" s="5" t="str">
        <x:v>http://localhost:3000/integrations</x:v>
      </x:c>
    </x:row>
    <x:row r="11" ht="38" customHeight="1">
      <x:c r="A11" s="10" t="str">
        <x:v>P02-06</x:v>
      </x:c>
      <x:c r="B11" s="10" t="str">
        <x:v>Integrations</x:v>
      </x:c>
      <x:c r="C11" s="10" t="str">
        <x:v>Related product thumbnail</x:v>
      </x:c>
      <x:c r="D11" s="10" t="str">
        <x:v>Agent Studio</x:v>
      </x:c>
      <x:c r="E11" s="10" t="str">
        <x:v>A013</x:v>
      </x:c>
      <x:c r="F11" s="10" t="str">
        <x:v>A miniature visual editor with configurable workflow nodes.</x:v>
      </x:c>
      <x:c r="G11" s="10" t="str">
        <x:v>Create</x:v>
      </x:c>
      <x:c r="H11" s="10" t="str">
        <x:f>'Production assets'!F18</x:f>
        <x:v>Not started</x:v>
      </x:c>
      <x:c r="I11" s="10" t="str">
        <x:v>Editable SVG + 1200 x 1000 WebP</x:v>
      </x:c>
      <x:c r="J11" s="10" t="str">
        <x:v>Generic star on gradient</x:v>
      </x:c>
      <x:c r="K11" s="10" t="str">
        <x:v>/brand/calendly/assistant-hero.svg + star glyph</x:v>
      </x:c>
      <x:c r="L11" s="10" t="str">
        <x:v>227 x 189</x:v>
      </x:c>
      <x:c r="M11" s="10" t="str">
        <x:v>Ice blue, white, teal, deep green</x:v>
      </x:c>
      <x:c r="N11" s="10" t="str">
        <x:v>Create once and reuse across related-product cards and the Platform card rail. Keep the gradient separate.</x:v>
      </x:c>
      <x:c r="O11" s="10" t="str">
        <x:v>http://localhost:3000/integrations</x:v>
      </x:c>
    </x:row>
  </x:sheetData>
  <x:pageMargins left="0.7" right="0.7" top="0.75" bottom="0.75" header="0.3" footer="0.3"/>
  <x:tableParts count="1">
    <x:tablePart xmlns:r="http://schemas.openxmlformats.org/officeDocument/2006/relationships" r:id="Ref24fcbc47e74088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4" hidden="0" customWidth="1"/>
    <x:col min="2" max="2" width="25" hidden="0" customWidth="1"/>
    <x:col min="3" max="3" width="24" hidden="0" customWidth="1"/>
    <x:col min="4" max="4" width="40" hidden="0" customWidth="1"/>
    <x:col min="5" max="5" width="12" hidden="0" customWidth="1"/>
    <x:col min="6" max="6" width="76" hidden="0" customWidth="1"/>
    <x:col min="7" max="7" width="14" hidden="0" customWidth="1"/>
    <x:col min="8" max="8" width="17" hidden="0" customWidth="1"/>
    <x:col min="9" max="9" width="40" hidden="0" customWidth="1"/>
    <x:col min="10" max="10" width="28" hidden="0" customWidth="1"/>
    <x:col min="11" max="11" width="65" hidden="0" customWidth="1"/>
    <x:col min="12" max="12" width="18" hidden="0" customWidth="1"/>
    <x:col min="13" max="13" width="30" hidden="0" customWidth="1"/>
    <x:col min="14" max="14" width="65" hidden="0" customWidth="1"/>
    <x:col min="15" max="15" width="6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>
      <x:c r="A2" s="2" t="str">
        <x:v>Agentic Workflows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>
      <x:c r="A3" s="3" t="str">
        <x:v>/products/agentic-workflows | Notetaker reference. Status links to Production assets.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30" customHeight="1">
      <x:c r="A5" s="9" t="str">
        <x:v>Placement ID</x:v>
      </x:c>
      <x:c r="B5" s="9" t="str">
        <x:v>Page</x:v>
      </x:c>
      <x:c r="C5" s="9" t="str">
        <x:v>Section</x:v>
      </x:c>
      <x:c r="D5" s="9" t="str">
        <x:v>Section title</x:v>
      </x:c>
      <x:c r="E5" s="9" t="str">
        <x:v>Asset ID</x:v>
      </x:c>
      <x:c r="F5" s="9" t="str">
        <x:v>Recommended artwork</x:v>
      </x:c>
      <x:c r="G5" s="9" t="str">
        <x:v>Action</x:v>
      </x:c>
      <x:c r="H5" s="9" t="str">
        <x:v>Status</x:v>
      </x:c>
      <x:c r="I5" s="9" t="str">
        <x:v>Recommended deliverable</x:v>
      </x:c>
      <x:c r="J5" s="9" t="str">
        <x:v>Current artwork</x:v>
      </x:c>
      <x:c r="K5" s="9" t="str">
        <x:v>Current sources</x:v>
      </x:c>
      <x:c r="L5" s="9" t="str">
        <x:v>Desktop size (px)</x:v>
      </x:c>
      <x:c r="M5" s="9" t="str">
        <x:v>Gradient palette</x:v>
      </x:c>
      <x:c r="N5" s="9" t="str">
        <x:v>Reuse and crop notes</x:v>
      </x:c>
      <x:c r="O5" s="9" t="str">
        <x:v>Page reference</x:v>
      </x:c>
    </x:row>
    <x:row r="6" ht="38" customHeight="1">
      <x:c r="A6" s="5" t="str">
        <x:v>P03-01</x:v>
      </x:c>
      <x:c r="B6" s="5" t="str">
        <x:v>Agentic Workflows</x:v>
      </x:c>
      <x:c r="C6" s="5" t="str">
        <x:v>Hero background</x:v>
      </x:c>
      <x:c r="D6" s="5" t="str">
        <x:v>Give recurring work a clear next step.</x:v>
      </x:c>
      <x:c r="E6" s="5" t="str">
        <x:v>A016</x:v>
      </x:c>
      <x:c r="F6" s="5" t="str">
        <x:v>Reuse the existing Paper SVG as a separate background layer. No new background required.</x:v>
      </x:c>
      <x:c r="G6" s="5" t="str">
        <x:v>Reuse</x:v>
      </x:c>
      <x:c r="H6" s="5" t="str">
        <x:f>'Production assets'!F21</x:f>
        <x:v>Existing</x:v>
      </x:c>
      <x:c r="I6" s="5" t="str">
        <x:v>Existing scalable SVG</x:v>
      </x:c>
      <x:c r="J6" s="5" t="str">
        <x:v>Existing background</x:v>
      </x:c>
      <x:c r="K6" s="5" t="str">
        <x:v>/brand/calendly/notetaker-hero.svg</x:v>
      </x:c>
      <x:c r="L6" s="5" t="str">
        <x:v>1387 x 776</x:v>
      </x:c>
      <x:c r="M6" s="5" t="str">
        <x:v>Navy, blue, blush, lavender</x:v>
      </x:c>
      <x:c r="N6" s="5" t="str">
        <x:v>Shared by every page using this style.</x:v>
      </x:c>
      <x:c r="O6" s="5" t="str">
        <x:v>http://localhost:3000/products/agentic-workflows</x:v>
      </x:c>
    </x:row>
    <x:row r="7" ht="51" customHeight="1">
      <x:c r="A7" s="10" t="str">
        <x:v>P03-02</x:v>
      </x:c>
      <x:c r="B7" s="10" t="str">
        <x:v>Agentic Workflows</x:v>
      </x:c>
      <x:c r="C7" s="10" t="str">
        <x:v>Capability overview</x:v>
      </x:c>
      <x:c r="D7" s="10" t="str">
        <x:v>Workflow Builder</x:v>
      </x:c>
      <x:c r="E7" s="10" t="str">
        <x:v>A017</x:v>
      </x:c>
      <x:c r="F7" s="10" t="str">
        <x:v>A floating workflow canvas with connected trigger, condition, action and review nodes.</x:v>
      </x:c>
      <x:c r="G7" s="10" t="str">
        <x:v>Rework</x:v>
      </x:c>
      <x:c r="H7" s="10" t="str">
        <x:f>'Production assets'!F22</x:f>
        <x:v>Not started</x:v>
      </x:c>
      <x:c r="I7" s="10" t="str">
        <x:v>Editable SVG/layers + 1200 x 1200 WebP</x:v>
      </x:c>
      <x:c r="J7" s="10" t="str">
        <x:v>Photo with layered UI</x:v>
      </x:c>
      <x:c r="K7" s="10" t="str">
        <x:v>/brand/feature-pages/workflows/workflows-01-workflow-builder.webp
/brand/feature-pages/artwork/157-5623.svg</x:v>
      </x:c>
      <x:c r="L7" s="10" t="str">
        <x:v>580 x 580</x:v>
      </x:c>
      <x:c r="M7" s="10" t="str">
        <x:v>Navy, blue, blush, lavender</x:v>
      </x:c>
      <x:c r="N7" s="10" t="str">
        <x:v>Preserve the existing CSS gradient. Export foreground separately with transparent background. Keep key UI within the central 80%. Reuses the first feature detail artwork.</x:v>
      </x:c>
      <x:c r="O7" s="10" t="str">
        <x:v>http://localhost:3000/products/agentic-workflows#workflow-builder</x:v>
      </x:c>
    </x:row>
    <x:row r="8" ht="38" customHeight="1">
      <x:c r="A8" s="5" t="str">
        <x:v>P03-03</x:v>
      </x:c>
      <x:c r="B8" s="5" t="str">
        <x:v>Agentic Workflows</x:v>
      </x:c>
      <x:c r="C8" s="5" t="str">
        <x:v>Product overview</x:v>
      </x:c>
      <x:c r="D8" s="5" t="str">
        <x:v>Build a clearer path through everyday processes.</x:v>
      </x:c>
      <x:c r="E8" s="5" t="str">
        <x:v>A018</x:v>
      </x:c>
      <x:c r="F8" s="5" t="str">
        <x:v>A wide workflow canvas showing a request, connected steps and a reviewable outcome.</x:v>
      </x:c>
      <x:c r="G8" s="5" t="str">
        <x:v>Rework</x:v>
      </x:c>
      <x:c r="H8" s="5" t="str">
        <x:f>'Production assets'!F23</x:f>
        <x:v>Not started</x:v>
      </x:c>
      <x:c r="I8" s="5" t="str">
        <x:v>Editable layers + 1920 x 620 WebP</x:v>
      </x:c>
      <x:c r="J8" s="5" t="str">
        <x:v>Existing overview photo</x:v>
      </x:c>
      <x:c r="K8" s="5" t="str">
        <x:v>/brand/feature-pages/workflows/workflows-hero.webp</x:v>
      </x:c>
      <x:c r="L8" s="5" t="str">
        <x:v>960 x 398</x:v>
      </x:c>
      <x:c r="M8" s="5" t="str">
        <x:v>Navy, blue, blush, lavender</x:v>
      </x:c>
      <x:c r="N8" s="5" t="str">
        <x:v>Replace the current overview photo with a product-led composition. Keep its wide framing.</x:v>
      </x:c>
      <x:c r="O8" s="5" t="str">
        <x:v>http://localhost:3000/products/agentic-workflows</x:v>
      </x:c>
    </x:row>
    <x:row r="9" ht="51" customHeight="1">
      <x:c r="A9" s="10" t="str">
        <x:v>P03-04</x:v>
      </x:c>
      <x:c r="B9" s="10" t="str">
        <x:v>Agentic Workflows</x:v>
      </x:c>
      <x:c r="C9" s="10" t="str">
        <x:v>Feature card</x:v>
      </x:c>
      <x:c r="D9" s="10" t="str">
        <x:v>Repeatable steps</x:v>
      </x:c>
      <x:c r="E9" s="10" t="str">
        <x:v>A019</x:v>
      </x:c>
      <x:c r="F9" s="10" t="str">
        <x:v>Three reusable workflow steps arranged as a small sequence with a repeat control.</x:v>
      </x:c>
      <x:c r="G9" s="10" t="str">
        <x:v>Create</x:v>
      </x:c>
      <x:c r="H9" s="10" t="str">
        <x:f>'Production assets'!F24</x:f>
        <x:v>Not started</x:v>
      </x:c>
      <x:c r="I9" s="10" t="str">
        <x:v>1200 x 1000 WebP crop of shared master</x:v>
      </x:c>
      <x:c r="J9" s="10" t="str">
        <x:v>Text placeholder</x:v>
      </x:c>
      <x:c r="K9" s="10" t="str">
        <x:v>CSS gradient + live UI</x:v>
      </x:c>
      <x:c r="L9" s="10" t="str">
        <x:v>320 x 267</x:v>
      </x:c>
      <x:c r="M9" s="10" t="str">
        <x:v>Navy, blue, blush, lavender</x:v>
      </x:c>
      <x:c r="N9" s="10" t="str">
        <x:v>Preserve the existing CSS gradient. Export foreground separately with transparent background. Keep key UI within the central 80%.</x:v>
      </x:c>
      <x:c r="O9" s="10" t="str">
        <x:v>http://localhost:3000/products/agentic-workflows</x:v>
      </x:c>
    </x:row>
    <x:row r="10" ht="51" customHeight="1">
      <x:c r="A10" s="5" t="str">
        <x:v>P03-05</x:v>
      </x:c>
      <x:c r="B10" s="5" t="str">
        <x:v>Agentic Workflows</x:v>
      </x:c>
      <x:c r="C10" s="5" t="str">
        <x:v>Feature card</x:v>
      </x:c>
      <x:c r="D10" s="5" t="str">
        <x:v>Shared understanding</x:v>
      </x:c>
      <x:c r="E10" s="5" t="str">
        <x:v>A020</x:v>
      </x:c>
      <x:c r="F10" s="5" t="str">
        <x:v>A shared workflow map with owner avatars and one clear handoff between teammates.</x:v>
      </x:c>
      <x:c r="G10" s="5" t="str">
        <x:v>Create</x:v>
      </x:c>
      <x:c r="H10" s="5" t="str">
        <x:f>'Production assets'!F25</x:f>
        <x:v>Not started</x:v>
      </x:c>
      <x:c r="I10" s="5" t="str">
        <x:v>1200 x 1000 WebP crop of shared master</x:v>
      </x:c>
      <x:c r="J10" s="5" t="str">
        <x:v>Text placeholder</x:v>
      </x:c>
      <x:c r="K10" s="5" t="str">
        <x:v>CSS gradient + live UI</x:v>
      </x:c>
      <x:c r="L10" s="5" t="str">
        <x:v>320 x 267</x:v>
      </x:c>
      <x:c r="M10" s="5" t="str">
        <x:v>Navy, blue, blush, lavender</x:v>
      </x:c>
      <x:c r="N10" s="5" t="str">
        <x:v>Preserve the existing CSS gradient. Export foreground separately with transparent background. Keep key UI within the central 80%.</x:v>
      </x:c>
      <x:c r="O10" s="5" t="str">
        <x:v>http://localhost:3000/products/agentic-workflows</x:v>
      </x:c>
    </x:row>
    <x:row r="11" ht="51" customHeight="1">
      <x:c r="A11" s="10" t="str">
        <x:v>P03-06</x:v>
      </x:c>
      <x:c r="B11" s="10" t="str">
        <x:v>Agentic Workflows</x:v>
      </x:c>
      <x:c r="C11" s="10" t="str">
        <x:v>Feature card</x:v>
      </x:c>
      <x:c r="D11" s="10" t="str">
        <x:v>Useful follow-up</x:v>
      </x:c>
      <x:c r="E11" s="10" t="str">
        <x:v>A021</x:v>
      </x:c>
      <x:c r="F11" s="10" t="str">
        <x:v>A completed run with its linked next action and assigned owner.</x:v>
      </x:c>
      <x:c r="G11" s="10" t="str">
        <x:v>Create</x:v>
      </x:c>
      <x:c r="H11" s="10" t="str">
        <x:f>'Production assets'!F26</x:f>
        <x:v>Not started</x:v>
      </x:c>
      <x:c r="I11" s="10" t="str">
        <x:v>1200 x 1000 WebP crop of shared master</x:v>
      </x:c>
      <x:c r="J11" s="10" t="str">
        <x:v>Text placeholder</x:v>
      </x:c>
      <x:c r="K11" s="10" t="str">
        <x:v>CSS gradient + live UI</x:v>
      </x:c>
      <x:c r="L11" s="10" t="str">
        <x:v>320 x 267</x:v>
      </x:c>
      <x:c r="M11" s="10" t="str">
        <x:v>Navy, blue, blush, lavender</x:v>
      </x:c>
      <x:c r="N11" s="10" t="str">
        <x:v>Preserve the existing CSS gradient. Export foreground separately with transparent background. Keep key UI within the central 80%.</x:v>
      </x:c>
      <x:c r="O11" s="10" t="str">
        <x:v>http://localhost:3000/products/agentic-workflows</x:v>
      </x:c>
    </x:row>
    <x:row r="12" ht="51" customHeight="1">
      <x:c r="A12" s="5" t="str">
        <x:v>P03-07</x:v>
      </x:c>
      <x:c r="B12" s="5" t="str">
        <x:v>Agentic Workflows</x:v>
      </x:c>
      <x:c r="C12" s="5" t="str">
        <x:v>Feature detail</x:v>
      </x:c>
      <x:c r="D12" s="5" t="str">
        <x:v>Map the steps that move work forward.</x:v>
      </x:c>
      <x:c r="E12" s="5" t="str">
        <x:v>A017</x:v>
      </x:c>
      <x:c r="F12" s="5" t="str">
        <x:v>A floating workflow canvas with connected trigger, condition, action and review nodes.</x:v>
      </x:c>
      <x:c r="G12" s="5" t="str">
        <x:v>Rework</x:v>
      </x:c>
      <x:c r="H12" s="5" t="str">
        <x:f>'Production assets'!F22</x:f>
        <x:v>Not started</x:v>
      </x:c>
      <x:c r="I12" s="5" t="str">
        <x:v>Editable SVG/layers + 1200 x 1200 WebP</x:v>
      </x:c>
      <x:c r="J12" s="5" t="str">
        <x:v>Photo with layered UI</x:v>
      </x:c>
      <x:c r="K12" s="5" t="str">
        <x:v>/brand/feature-pages/workflows/workflows-01-workflow-builder.webp
/brand/feature-pages/artwork/157-5623.svg</x:v>
      </x:c>
      <x:c r="L12" s="5" t="str">
        <x:v>580 x 580</x:v>
      </x:c>
      <x:c r="M12" s="5" t="str">
        <x:v>Navy, blue, blush, lavender</x:v>
      </x:c>
      <x:c r="N12" s="5" t="str">
        <x:v>Preserve the existing CSS gradient. Export foreground separately with transparent background. Keep key UI within the central 80%.</x:v>
      </x:c>
      <x:c r="O12" s="5" t="str">
        <x:v>http://localhost:3000/products/agentic-workflows#workflow-builder</x:v>
      </x:c>
    </x:row>
    <x:row r="13" ht="51" customHeight="1">
      <x:c r="A13" s="10" t="str">
        <x:v>P03-08</x:v>
      </x:c>
      <x:c r="B13" s="10" t="str">
        <x:v>Agentic Workflows</x:v>
      </x:c>
      <x:c r="C13" s="10" t="str">
        <x:v>Feature detail</x:v>
      </x:c>
      <x:c r="D13" s="10" t="str">
        <x:v>Make the starting point clear.</x:v>
      </x:c>
      <x:c r="E13" s="10" t="str">
        <x:v>A022</x:v>
      </x:c>
      <x:c r="F13" s="10" t="str">
        <x:v>A trigger setup panel next to a branching condition, showing the rule that starts each path.</x:v>
      </x:c>
      <x:c r="G13" s="10" t="str">
        <x:v>Rework</x:v>
      </x:c>
      <x:c r="H13" s="10" t="str">
        <x:f>'Production assets'!F27</x:f>
        <x:v>Not started</x:v>
      </x:c>
      <x:c r="I13" s="10" t="str">
        <x:v>Editable SVG/layers + 1200 x 1200 WebP</x:v>
      </x:c>
      <x:c r="J13" s="10" t="str">
        <x:v>Photo with layered UI</x:v>
      </x:c>
      <x:c r="K13" s="10" t="str">
        <x:v>/brand/feature-pages/workflows/workflows-02-triggers-and-conditions.webp
/brand/feature-pages/artwork/157-5660-figma.svg</x:v>
      </x:c>
      <x:c r="L13" s="10" t="str">
        <x:v>532 x 532</x:v>
      </x:c>
      <x:c r="M13" s="10" t="str">
        <x:v>Navy, blue, blush, lavender</x:v>
      </x:c>
      <x:c r="N13" s="10" t="str">
        <x:v>Preserve the existing CSS gradient. Export foreground separately with transparent background. Keep key UI within the central 80%.</x:v>
      </x:c>
      <x:c r="O13" s="10" t="str">
        <x:v>http://localhost:3000/products/agentic-workflows#triggers-and-conditions</x:v>
      </x:c>
    </x:row>
    <x:row r="14" ht="51" customHeight="1">
      <x:c r="A14" s="5" t="str">
        <x:v>P03-09</x:v>
      </x:c>
      <x:c r="B14" s="5" t="str">
        <x:v>Agentic Workflows</x:v>
      </x:c>
      <x:c r="C14" s="5" t="str">
        <x:v>Feature detail</x:v>
      </x:c>
      <x:c r="D14" s="5" t="str">
        <x:v>Keep workflow activity in view.</x:v>
      </x:c>
      <x:c r="E14" s="5" t="str">
        <x:v>A023</x:v>
      </x:c>
      <x:c r="F14" s="5" t="str">
        <x:v>An activity dashboard with recent workflow runs, current steps and an exception awaiting review.</x:v>
      </x:c>
      <x:c r="G14" s="5" t="str">
        <x:v>Rework</x:v>
      </x:c>
      <x:c r="H14" s="5" t="str">
        <x:f>'Production assets'!F28</x:f>
        <x:v>Not started</x:v>
      </x:c>
      <x:c r="I14" s="5" t="str">
        <x:v>Editable SVG/layers + 1200 x 1200 WebP</x:v>
      </x:c>
      <x:c r="J14" s="5" t="str">
        <x:v>Photo with layered UI</x:v>
      </x:c>
      <x:c r="K14" s="5" t="str">
        <x:v>/brand/feature-pages/workflows/workflows-03-activity-overview.webp
/brand/feature-pages/artwork/157-5715.svg</x:v>
      </x:c>
      <x:c r="L14" s="5" t="str">
        <x:v>580 x 580</x:v>
      </x:c>
      <x:c r="M14" s="5" t="str">
        <x:v>Navy, blue, blush, lavender</x:v>
      </x:c>
      <x:c r="N14" s="5" t="str">
        <x:v>Preserve the existing CSS gradient. Export foreground separately with transparent background. Keep key UI within the central 80%.</x:v>
      </x:c>
      <x:c r="O14" s="5" t="str">
        <x:v>http://localhost:3000/products/agentic-workflows#activity-overview</x:v>
      </x:c>
    </x:row>
    <x:row r="15" ht="51" customHeight="1">
      <x:c r="A15" s="10" t="str">
        <x:v>P03-10</x:v>
      </x:c>
      <x:c r="B15" s="10" t="str">
        <x:v>Agentic Workflows</x:v>
      </x:c>
      <x:c r="C15" s="10" t="str">
        <x:v>Feature detail</x:v>
      </x:c>
      <x:c r="D15" s="10" t="str">
        <x:v>Follow the steps behind the status.</x:v>
      </x:c>
      <x:c r="E15" s="10" t="str">
        <x:v>A024</x:v>
      </x:c>
      <x:c r="F15" s="10" t="str">
        <x:v>A run-history timeline with an expanded execution and its ordered steps.</x:v>
      </x:c>
      <x:c r="G15" s="10" t="str">
        <x:v>Rework</x:v>
      </x:c>
      <x:c r="H15" s="10" t="str">
        <x:f>'Production assets'!F29</x:f>
        <x:v>Not started</x:v>
      </x:c>
      <x:c r="I15" s="10" t="str">
        <x:v>Editable SVG/layers + 1200 x 1200 WebP</x:v>
      </x:c>
      <x:c r="J15" s="10" t="str">
        <x:v>Photo with layered UI</x:v>
      </x:c>
      <x:c r="K15" s="10" t="str">
        <x:v>/brand/feature-pages/workflows/workflows-04-workflow-history.webp
/brand/feature-pages/artwork/157-5744-figma.svg</x:v>
      </x:c>
      <x:c r="L15" s="10" t="str">
        <x:v>532 x 532</x:v>
      </x:c>
      <x:c r="M15" s="10" t="str">
        <x:v>Navy, blue, blush, lavender</x:v>
      </x:c>
      <x:c r="N15" s="10" t="str">
        <x:v>Preserve the existing CSS gradient. Export foreground separately with transparent background. Keep key UI within the central 80%.</x:v>
      </x:c>
      <x:c r="O15" s="10" t="str">
        <x:v>http://localhost:3000/products/agentic-workflows#workflow-history</x:v>
      </x:c>
    </x:row>
    <x:row r="16" ht="38" customHeight="1">
      <x:c r="A16" s="5" t="str">
        <x:v>P03-11</x:v>
      </x:c>
      <x:c r="B16" s="5" t="str">
        <x:v>Agentic Workflows</x:v>
      </x:c>
      <x:c r="C16" s="5" t="str">
        <x:v>Related product thumbnail</x:v>
      </x:c>
      <x:c r="D16" s="5" t="str">
        <x:v>Platform</x:v>
      </x:c>
      <x:c r="E16" s="5" t="str">
        <x:v>A015</x:v>
      </x:c>
      <x:c r="F16" s="5" t="str">
        <x:v>A compact workspace overview linking agents, tools and shared knowledge.</x:v>
      </x:c>
      <x:c r="G16" s="5" t="str">
        <x:v>Create</x:v>
      </x:c>
      <x:c r="H16" s="5" t="str">
        <x:f>'Production assets'!F20</x:f>
        <x:v>Not started</x:v>
      </x:c>
      <x:c r="I16" s="5" t="str">
        <x:v>Editable SVG + 1200 x 1000 WebP</x:v>
      </x:c>
      <x:c r="J16" s="5" t="str">
        <x:v>Generic star on gradient</x:v>
      </x:c>
      <x:c r="K16" s="5" t="str">
        <x:v>/brand/calendly/assistant-hero.svg + star glyph</x:v>
      </x:c>
      <x:c r="L16" s="5" t="str">
        <x:v>227 x 189</x:v>
      </x:c>
      <x:c r="M16" s="5" t="str">
        <x:v>Ice blue, white, teal, deep green</x:v>
      </x:c>
      <x:c r="N16" s="5" t="str">
        <x:v>Create once and reuse across related-product cards and the Platform card rail. Keep the gradient separate.</x:v>
      </x:c>
      <x:c r="O16" s="5" t="str">
        <x:v>http://localhost:3000/products/agentic-workflows</x:v>
      </x:c>
    </x:row>
    <x:row r="17" ht="38" customHeight="1">
      <x:c r="A17" s="10" t="str">
        <x:v>P03-12</x:v>
      </x:c>
      <x:c r="B17" s="10" t="str">
        <x:v>Agentic Workflows</x:v>
      </x:c>
      <x:c r="C17" s="10" t="str">
        <x:v>Related product thumbnail</x:v>
      </x:c>
      <x:c r="D17" s="10" t="str">
        <x:v>Integrations</x:v>
      </x:c>
      <x:c r="E17" s="10" t="str">
        <x:v>A006</x:v>
      </x:c>
      <x:c r="F17" s="10" t="str">
        <x:v>A central Innflow node connected to a small set of tool tiles.</x:v>
      </x:c>
      <x:c r="G17" s="10" t="str">
        <x:v>Create</x:v>
      </x:c>
      <x:c r="H17" s="10" t="str">
        <x:f>'Production assets'!F11</x:f>
        <x:v>Not started</x:v>
      </x:c>
      <x:c r="I17" s="10" t="str">
        <x:v>Editable SVG + 1200 x 1000 WebP</x:v>
      </x:c>
      <x:c r="J17" s="10" t="str">
        <x:v>Generic star on gradient</x:v>
      </x:c>
      <x:c r="K17" s="10" t="str">
        <x:v>/brand/calendly/scheduling-hero.svg + star glyph</x:v>
      </x:c>
      <x:c r="L17" s="10" t="str">
        <x:v>227 x 189</x:v>
      </x:c>
      <x:c r="M17" s="10" t="str">
        <x:v>Sky blue, pale aqua, navy</x:v>
      </x:c>
      <x:c r="N17" s="10" t="str">
        <x:v>Create once and reuse across related-product cards and the Platform card rail. Keep the gradient separate.</x:v>
      </x:c>
      <x:c r="O17" s="10" t="str">
        <x:v>http://localhost:3000/products/agentic-workflows</x:v>
      </x:c>
    </x:row>
    <x:row r="18" ht="38" customHeight="1">
      <x:c r="A18" s="5" t="str">
        <x:v>P03-13</x:v>
      </x:c>
      <x:c r="B18" s="5" t="str">
        <x:v>Agentic Workflows</x:v>
      </x:c>
      <x:c r="C18" s="5" t="str">
        <x:v>Related product thumbnail</x:v>
      </x:c>
      <x:c r="D18" s="5" t="str">
        <x:v>Agent OS</x:v>
      </x:c>
      <x:c r="E18" s="5" t="str">
        <x:v>A011</x:v>
      </x:c>
      <x:c r="F18" s="5" t="str">
        <x:v>A small orchestration graph connecting agents and shared memory.</x:v>
      </x:c>
      <x:c r="G18" s="5" t="str">
        <x:v>Create</x:v>
      </x:c>
      <x:c r="H18" s="5" t="str">
        <x:f>'Production assets'!F16</x:f>
        <x:v>Not started</x:v>
      </x:c>
      <x:c r="I18" s="5" t="str">
        <x:v>Editable SVG + 1200 x 1000 WebP</x:v>
      </x:c>
      <x:c r="J18" s="5" t="str">
        <x:v>Generic star on gradient</x:v>
      </x:c>
      <x:c r="K18" s="5" t="str">
        <x:v>/brand/calendly/contacts-hero.svg + star glyph</x:v>
      </x:c>
      <x:c r="L18" s="5" t="str">
        <x:v>227 x 189</x:v>
      </x:c>
      <x:c r="M18" s="5" t="str">
        <x:v>Cream, peach, pink, blue</x:v>
      </x:c>
      <x:c r="N18" s="5" t="str">
        <x:v>Create once and reuse across related-product cards and the Platform card rail. Keep the gradient separate.</x:v>
      </x:c>
      <x:c r="O18" s="5" t="str">
        <x:v>http://localhost:3000/products/agentic-workflows</x:v>
      </x:c>
    </x:row>
    <x:row r="19" ht="38" customHeight="1">
      <x:c r="A19" s="10" t="str">
        <x:v>P03-14</x:v>
      </x:c>
      <x:c r="B19" s="10" t="str">
        <x:v>Agentic Workflows</x:v>
      </x:c>
      <x:c r="C19" s="10" t="str">
        <x:v>Related product thumbnail</x:v>
      </x:c>
      <x:c r="D19" s="10" t="str">
        <x:v>AI Agents</x:v>
      </x:c>
      <x:c r="E19" s="10" t="str">
        <x:v>A012</x:v>
      </x:c>
      <x:c r="F19" s="10" t="str">
        <x:v>An agent task card with linked evidence and a proposed next action.</x:v>
      </x:c>
      <x:c r="G19" s="10" t="str">
        <x:v>Create</x:v>
      </x:c>
      <x:c r="H19" s="10" t="str">
        <x:f>'Production assets'!F17</x:f>
        <x:v>Not started</x:v>
      </x:c>
      <x:c r="I19" s="10" t="str">
        <x:v>Editable SVG + 1200 x 1000 WebP</x:v>
      </x:c>
      <x:c r="J19" s="10" t="str">
        <x:v>Generic star on gradient</x:v>
      </x:c>
      <x:c r="K19" s="10" t="str">
        <x:v>/brand/calendly/payments-hero.svg + star glyph</x:v>
      </x:c>
      <x:c r="L19" s="10" t="str">
        <x:v>227 x 189</x:v>
      </x:c>
      <x:c r="M19" s="10" t="str">
        <x:v>Pale mint, aqua, blue, navy</x:v>
      </x:c>
      <x:c r="N19" s="10" t="str">
        <x:v>Create once and reuse across related-product cards and the Platform card rail. Keep the gradient separate.</x:v>
      </x:c>
      <x:c r="O19" s="10" t="str">
        <x:v>http://localhost:3000/products/agentic-workflows</x:v>
      </x:c>
    </x:row>
    <x:row r="20" ht="38" customHeight="1">
      <x:c r="A20" s="5" t="str">
        <x:v>P03-15</x:v>
      </x:c>
      <x:c r="B20" s="5" t="str">
        <x:v>Agentic Workflows</x:v>
      </x:c>
      <x:c r="C20" s="5" t="str">
        <x:v>Related product thumbnail</x:v>
      </x:c>
      <x:c r="D20" s="5" t="str">
        <x:v>Agent Studio</x:v>
      </x:c>
      <x:c r="E20" s="5" t="str">
        <x:v>A013</x:v>
      </x:c>
      <x:c r="F20" s="5" t="str">
        <x:v>A miniature visual editor with configurable workflow nodes.</x:v>
      </x:c>
      <x:c r="G20" s="5" t="str">
        <x:v>Create</x:v>
      </x:c>
      <x:c r="H20" s="5" t="str">
        <x:f>'Production assets'!F18</x:f>
        <x:v>Not started</x:v>
      </x:c>
      <x:c r="I20" s="5" t="str">
        <x:v>Editable SVG + 1200 x 1000 WebP</x:v>
      </x:c>
      <x:c r="J20" s="5" t="str">
        <x:v>Generic star on gradient</x:v>
      </x:c>
      <x:c r="K20" s="5" t="str">
        <x:v>/brand/calendly/assistant-hero.svg + star glyph</x:v>
      </x:c>
      <x:c r="L20" s="5" t="str">
        <x:v>227 x 189</x:v>
      </x:c>
      <x:c r="M20" s="5" t="str">
        <x:v>Ice blue, white, teal, deep green</x:v>
      </x:c>
      <x:c r="N20" s="5" t="str">
        <x:v>Create once and reuse across related-product cards and the Platform card rail. Keep the gradient separate.</x:v>
      </x:c>
      <x:c r="O20" s="5" t="str">
        <x:v>http://localhost:3000/products/agentic-workflows</x:v>
      </x:c>
    </x:row>
  </x:sheetData>
  <x:pageMargins left="0.7" right="0.7" top="0.75" bottom="0.75" header="0.3" footer="0.3"/>
  <x:tableParts count="1">
    <x:tablePart xmlns:r="http://schemas.openxmlformats.org/officeDocument/2006/relationships" r:id="R23968b0ea72a4426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4" hidden="0" customWidth="1"/>
    <x:col min="2" max="2" width="25" hidden="0" customWidth="1"/>
    <x:col min="3" max="3" width="24" hidden="0" customWidth="1"/>
    <x:col min="4" max="4" width="40" hidden="0" customWidth="1"/>
    <x:col min="5" max="5" width="12" hidden="0" customWidth="1"/>
    <x:col min="6" max="6" width="76" hidden="0" customWidth="1"/>
    <x:col min="7" max="7" width="14" hidden="0" customWidth="1"/>
    <x:col min="8" max="8" width="17" hidden="0" customWidth="1"/>
    <x:col min="9" max="9" width="40" hidden="0" customWidth="1"/>
    <x:col min="10" max="10" width="28" hidden="0" customWidth="1"/>
    <x:col min="11" max="11" width="65" hidden="0" customWidth="1"/>
    <x:col min="12" max="12" width="18" hidden="0" customWidth="1"/>
    <x:col min="13" max="13" width="30" hidden="0" customWidth="1"/>
    <x:col min="14" max="14" width="65" hidden="0" customWidth="1"/>
    <x:col min="15" max="15" width="6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>
      <x:c r="A2" s="2" t="str">
        <x:v>Agent OS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>
      <x:c r="A3" s="3" t="str">
        <x:v>/products/agent-os | Contacts reference. Status links to Production assets.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30" customHeight="1">
      <x:c r="A5" s="9" t="str">
        <x:v>Placement ID</x:v>
      </x:c>
      <x:c r="B5" s="9" t="str">
        <x:v>Page</x:v>
      </x:c>
      <x:c r="C5" s="9" t="str">
        <x:v>Section</x:v>
      </x:c>
      <x:c r="D5" s="9" t="str">
        <x:v>Section title</x:v>
      </x:c>
      <x:c r="E5" s="9" t="str">
        <x:v>Asset ID</x:v>
      </x:c>
      <x:c r="F5" s="9" t="str">
        <x:v>Recommended artwork</x:v>
      </x:c>
      <x:c r="G5" s="9" t="str">
        <x:v>Action</x:v>
      </x:c>
      <x:c r="H5" s="9" t="str">
        <x:v>Status</x:v>
      </x:c>
      <x:c r="I5" s="9" t="str">
        <x:v>Recommended deliverable</x:v>
      </x:c>
      <x:c r="J5" s="9" t="str">
        <x:v>Current artwork</x:v>
      </x:c>
      <x:c r="K5" s="9" t="str">
        <x:v>Current sources</x:v>
      </x:c>
      <x:c r="L5" s="9" t="str">
        <x:v>Desktop size (px)</x:v>
      </x:c>
      <x:c r="M5" s="9" t="str">
        <x:v>Gradient palette</x:v>
      </x:c>
      <x:c r="N5" s="9" t="str">
        <x:v>Reuse and crop notes</x:v>
      </x:c>
      <x:c r="O5" s="9" t="str">
        <x:v>Page reference</x:v>
      </x:c>
    </x:row>
    <x:row r="6" ht="38" customHeight="1">
      <x:c r="A6" s="5" t="str">
        <x:v>P04-01</x:v>
      </x:c>
      <x:c r="B6" s="5" t="str">
        <x:v>Agent OS</x:v>
      </x:c>
      <x:c r="C6" s="5" t="str">
        <x:v>Hero background</x:v>
      </x:c>
      <x:c r="D6" s="5" t="str">
        <x:v>Give your agents a clear path to follow.</x:v>
      </x:c>
      <x:c r="E6" s="5" t="str">
        <x:v>A025</x:v>
      </x:c>
      <x:c r="F6" s="5" t="str">
        <x:v>Reuse the existing Paper SVG as a separate background layer. No new background required.</x:v>
      </x:c>
      <x:c r="G6" s="5" t="str">
        <x:v>Reuse</x:v>
      </x:c>
      <x:c r="H6" s="5" t="str">
        <x:f>'Production assets'!F30</x:f>
        <x:v>Existing</x:v>
      </x:c>
      <x:c r="I6" s="5" t="str">
        <x:v>Existing scalable SVG</x:v>
      </x:c>
      <x:c r="J6" s="5" t="str">
        <x:v>Existing background</x:v>
      </x:c>
      <x:c r="K6" s="5" t="str">
        <x:v>/brand/calendly/contacts-hero.svg</x:v>
      </x:c>
      <x:c r="L6" s="5" t="str">
        <x:v>1387 x 776</x:v>
      </x:c>
      <x:c r="M6" s="5" t="str">
        <x:v>Cream, peach, pink, blue</x:v>
      </x:c>
      <x:c r="N6" s="5" t="str">
        <x:v>Shared by every page using this style.</x:v>
      </x:c>
      <x:c r="O6" s="5" t="str">
        <x:v>http://localhost:3000/products/agent-os</x:v>
      </x:c>
    </x:row>
    <x:row r="7" ht="51" customHeight="1">
      <x:c r="A7" s="10" t="str">
        <x:v>P04-02</x:v>
      </x:c>
      <x:c r="B7" s="10" t="str">
        <x:v>Agent OS</x:v>
      </x:c>
      <x:c r="C7" s="10" t="str">
        <x:v>Capability overview</x:v>
      </x:c>
      <x:c r="D7" s="10" t="str">
        <x:v>Graph-based execution</x:v>
      </x:c>
      <x:c r="E7" s="10" t="str">
        <x:v>A026</x:v>
      </x:c>
      <x:c r="F7" s="10" t="str">
        <x:v>A branching agent graph with one highlighted route from request to reviewed output.</x:v>
      </x:c>
      <x:c r="G7" s="10" t="str">
        <x:v>Create</x:v>
      </x:c>
      <x:c r="H7" s="10" t="str">
        <x:f>'Production assets'!F31</x:f>
        <x:v>Not started</x:v>
      </x:c>
      <x:c r="I7" s="10" t="str">
        <x:v>Editable SVG/layers + 1200 x 1200 WebP</x:v>
      </x:c>
      <x:c r="J7" s="10" t="str">
        <x:v>Generic workflow illustration</x:v>
      </x:c>
      <x:c r="K7" s="10" t="str">
        <x:v>CSS gradient + live UI</x:v>
      </x:c>
      <x:c r="L7" s="10" t="str">
        <x:v>580 x 580</x:v>
      </x:c>
      <x:c r="M7" s="10" t="str">
        <x:v>Cream, peach, pink, blue</x:v>
      </x:c>
      <x:c r="N7" s="10" t="str">
        <x:v>Preserve the existing CSS gradient. Export foreground separately with transparent background. Keep key UI within the central 80%. Reuses the first feature detail artwork.</x:v>
      </x:c>
      <x:c r="O7" s="10" t="str">
        <x:v>http://localhost:3000/products/agent-os#graph-based-execution</x:v>
      </x:c>
    </x:row>
    <x:row r="8" ht="51" customHeight="1">
      <x:c r="A8" s="5" t="str">
        <x:v>P04-03</x:v>
      </x:c>
      <x:c r="B8" s="5" t="str">
        <x:v>Agent OS</x:v>
      </x:c>
      <x:c r="C8" s="5" t="str">
        <x:v>Feature card</x:v>
      </x:c>
      <x:c r="D8" s="5" t="str">
        <x:v>See how the steps fit together.</x:v>
      </x:c>
      <x:c r="E8" s="5" t="str">
        <x:v>A026</x:v>
      </x:c>
      <x:c r="F8" s="5" t="str">
        <x:v>A branching agent graph with one highlighted route from request to reviewed output.</x:v>
      </x:c>
      <x:c r="G8" s="5" t="str">
        <x:v>Create</x:v>
      </x:c>
      <x:c r="H8" s="5" t="str">
        <x:f>'Production assets'!F31</x:f>
        <x:v>Not started</x:v>
      </x:c>
      <x:c r="I8" s="5" t="str">
        <x:v>1200 x 1000 WebP crop of shared master</x:v>
      </x:c>
      <x:c r="J8" s="5" t="str">
        <x:v>Generic workflow illustration</x:v>
      </x:c>
      <x:c r="K8" s="5" t="str">
        <x:v>CSS gradient + live UI</x:v>
      </x:c>
      <x:c r="L8" s="5" t="str">
        <x:v>320 x 267</x:v>
      </x:c>
      <x:c r="M8" s="5" t="str">
        <x:v>Cream, peach, pink, blue</x:v>
      </x:c>
      <x:c r="N8" s="5" t="str">
        <x:v>Preserve the existing CSS gradient. Export foreground separately with transparent background. Keep key UI within the central 80%.</x:v>
      </x:c>
      <x:c r="O8" s="5" t="str">
        <x:v>http://localhost:3000/products/agent-os</x:v>
      </x:c>
    </x:row>
    <x:row r="9" ht="51" customHeight="1">
      <x:c r="A9" s="10" t="str">
        <x:v>P04-04</x:v>
      </x:c>
      <x:c r="B9" s="10" t="str">
        <x:v>Agent OS</x:v>
      </x:c>
      <x:c r="C9" s="10" t="str">
        <x:v>Feature card</x:v>
      </x:c>
      <x:c r="D9" s="10" t="str">
        <x:v>Build once. Use it again.</x:v>
      </x:c>
      <x:c r="E9" s="10" t="str">
        <x:v>A027</x:v>
      </x:c>
      <x:c r="F9" s="10" t="str">
        <x:v>Reusable skill, tool and trigger blocks snapping into a single workflow.</x:v>
      </x:c>
      <x:c r="G9" s="10" t="str">
        <x:v>Create</x:v>
      </x:c>
      <x:c r="H9" s="10" t="str">
        <x:f>'Production assets'!F32</x:f>
        <x:v>Not started</x:v>
      </x:c>
      <x:c r="I9" s="10" t="str">
        <x:v>1200 x 1000 WebP crop of shared master</x:v>
      </x:c>
      <x:c r="J9" s="10" t="str">
        <x:v>Generic workflow illustration</x:v>
      </x:c>
      <x:c r="K9" s="10" t="str">
        <x:v>CSS gradient + live UI</x:v>
      </x:c>
      <x:c r="L9" s="10" t="str">
        <x:v>320 x 267</x:v>
      </x:c>
      <x:c r="M9" s="10" t="str">
        <x:v>Cream, peach, pink, blue</x:v>
      </x:c>
      <x:c r="N9" s="10" t="str">
        <x:v>Preserve the existing CSS gradient. Export foreground separately with transparent background. Keep key UI within the central 80%.</x:v>
      </x:c>
      <x:c r="O9" s="10" t="str">
        <x:v>http://localhost:3000/products/agent-os</x:v>
      </x:c>
    </x:row>
    <x:row r="10" ht="51" customHeight="1">
      <x:c r="A10" s="5" t="str">
        <x:v>P04-05</x:v>
      </x:c>
      <x:c r="B10" s="5" t="str">
        <x:v>Agent OS</x:v>
      </x:c>
      <x:c r="C10" s="5" t="str">
        <x:v>Feature card</x:v>
      </x:c>
      <x:c r="D10" s="5" t="str">
        <x:v>Give each agent a clear role.</x:v>
      </x:c>
      <x:c r="E10" s="5" t="str">
        <x:v>A028</x:v>
      </x:c>
      <x:c r="F10" s="5" t="str">
        <x:v>Three agent role cards passing one shared task and its context between them.</x:v>
      </x:c>
      <x:c r="G10" s="5" t="str">
        <x:v>Create</x:v>
      </x:c>
      <x:c r="H10" s="5" t="str">
        <x:f>'Production assets'!F33</x:f>
        <x:v>Not started</x:v>
      </x:c>
      <x:c r="I10" s="5" t="str">
        <x:v>1200 x 1000 WebP crop of shared master</x:v>
      </x:c>
      <x:c r="J10" s="5" t="str">
        <x:v>Generic workflow illustration</x:v>
      </x:c>
      <x:c r="K10" s="5" t="str">
        <x:v>CSS gradient + live UI</x:v>
      </x:c>
      <x:c r="L10" s="5" t="str">
        <x:v>320 x 267</x:v>
      </x:c>
      <x:c r="M10" s="5" t="str">
        <x:v>Cream, peach, pink, blue</x:v>
      </x:c>
      <x:c r="N10" s="5" t="str">
        <x:v>Preserve the existing CSS gradient. Export foreground separately with transparent background. Keep key UI within the central 80%.</x:v>
      </x:c>
      <x:c r="O10" s="5" t="str">
        <x:v>http://localhost:3000/products/agent-os</x:v>
      </x:c>
    </x:row>
    <x:row r="11" ht="51" customHeight="1">
      <x:c r="A11" s="10" t="str">
        <x:v>P04-06</x:v>
      </x:c>
      <x:c r="B11" s="10" t="str">
        <x:v>Agent OS</x:v>
      </x:c>
      <x:c r="C11" s="10" t="str">
        <x:v>Feature card</x:v>
      </x:c>
      <x:c r="D11" s="10" t="str">
        <x:v>Make the next run better.</x:v>
      </x:c>
      <x:c r="E11" s="10" t="str">
        <x:v>A029</x:v>
      </x:c>
      <x:c r="F11" s="10" t="str">
        <x:v>A run review panel showing a correction beside a revised workflow step.</x:v>
      </x:c>
      <x:c r="G11" s="10" t="str">
        <x:v>Create</x:v>
      </x:c>
      <x:c r="H11" s="10" t="str">
        <x:f>'Production assets'!F34</x:f>
        <x:v>Not started</x:v>
      </x:c>
      <x:c r="I11" s="10" t="str">
        <x:v>1200 x 1000 WebP crop of shared master</x:v>
      </x:c>
      <x:c r="J11" s="10" t="str">
        <x:v>Generic workflow illustration</x:v>
      </x:c>
      <x:c r="K11" s="10" t="str">
        <x:v>CSS gradient + live UI</x:v>
      </x:c>
      <x:c r="L11" s="10" t="str">
        <x:v>320 x 267</x:v>
      </x:c>
      <x:c r="M11" s="10" t="str">
        <x:v>Cream, peach, pink, blue</x:v>
      </x:c>
      <x:c r="N11" s="10" t="str">
        <x:v>Preserve the existing CSS gradient. Export foreground separately with transparent background. Keep key UI within the central 80%.</x:v>
      </x:c>
      <x:c r="O11" s="10" t="str">
        <x:v>http://localhost:3000/products/agent-os</x:v>
      </x:c>
    </x:row>
    <x:row r="12" ht="51" customHeight="1">
      <x:c r="A12" s="5" t="str">
        <x:v>P04-07</x:v>
      </x:c>
      <x:c r="B12" s="5" t="str">
        <x:v>Agent OS</x:v>
      </x:c>
      <x:c r="C12" s="5" t="str">
        <x:v>Feature card</x:v>
      </x:c>
      <x:c r="D12" s="5" t="str">
        <x:v>Define a good result.</x:v>
      </x:c>
      <x:c r="E12" s="5" t="str">
        <x:v>A030</x:v>
      </x:c>
      <x:c r="F12" s="5" t="str">
        <x:v>A result checklist comparing expected and actual outputs, with one item needing review.</x:v>
      </x:c>
      <x:c r="G12" s="5" t="str">
        <x:v>Create</x:v>
      </x:c>
      <x:c r="H12" s="5" t="str">
        <x:f>'Production assets'!F35</x:f>
        <x:v>Not started</x:v>
      </x:c>
      <x:c r="I12" s="5" t="str">
        <x:v>1200 x 1000 WebP crop of shared master</x:v>
      </x:c>
      <x:c r="J12" s="5" t="str">
        <x:v>Generic workflow illustration</x:v>
      </x:c>
      <x:c r="K12" s="5" t="str">
        <x:v>CSS gradient + live UI</x:v>
      </x:c>
      <x:c r="L12" s="5" t="str">
        <x:v>320 x 267</x:v>
      </x:c>
      <x:c r="M12" s="5" t="str">
        <x:v>Cream, peach, pink, blue</x:v>
      </x:c>
      <x:c r="N12" s="5" t="str">
        <x:v>Preserve the existing CSS gradient. Export foreground separately with transparent background. Keep key UI within the central 80%.</x:v>
      </x:c>
      <x:c r="O12" s="5" t="str">
        <x:v>http://localhost:3000/products/agent-os</x:v>
      </x:c>
    </x:row>
    <x:row r="13" ht="51" customHeight="1">
      <x:c r="A13" s="10" t="str">
        <x:v>P04-08</x:v>
      </x:c>
      <x:c r="B13" s="10" t="str">
        <x:v>Agent OS</x:v>
      </x:c>
      <x:c r="C13" s="10" t="str">
        <x:v>Feature card</x:v>
      </x:c>
      <x:c r="D13" s="10" t="str">
        <x:v>Keep people in the decisions.</x:v>
      </x:c>
      <x:c r="E13" s="10" t="str">
        <x:v>A031</x:v>
      </x:c>
      <x:c r="F13" s="10" t="str">
        <x:v>An approval inbox with a proposed action, supporting context and approve or revise controls.</x:v>
      </x:c>
      <x:c r="G13" s="10" t="str">
        <x:v>Create</x:v>
      </x:c>
      <x:c r="H13" s="10" t="str">
        <x:f>'Production assets'!F36</x:f>
        <x:v>Not started</x:v>
      </x:c>
      <x:c r="I13" s="10" t="str">
        <x:v>1200 x 1000 WebP crop of shared master</x:v>
      </x:c>
      <x:c r="J13" s="10" t="str">
        <x:v>Generic workflow illustration</x:v>
      </x:c>
      <x:c r="K13" s="10" t="str">
        <x:v>CSS gradient + live UI</x:v>
      </x:c>
      <x:c r="L13" s="10" t="str">
        <x:v>320 x 267</x:v>
      </x:c>
      <x:c r="M13" s="10" t="str">
        <x:v>Cream, peach, pink, blue</x:v>
      </x:c>
      <x:c r="N13" s="10" t="str">
        <x:v>Preserve the existing CSS gradient. Export foreground separately with transparent background. Keep key UI within the central 80%.</x:v>
      </x:c>
      <x:c r="O13" s="10" t="str">
        <x:v>http://localhost:3000/products/agent-os</x:v>
      </x:c>
    </x:row>
    <x:row r="14" ht="51" customHeight="1">
      <x:c r="A14" s="5" t="str">
        <x:v>P04-09</x:v>
      </x:c>
      <x:c r="B14" s="5" t="str">
        <x:v>Agent OS</x:v>
      </x:c>
      <x:c r="C14" s="5" t="str">
        <x:v>Feature card</x:v>
      </x:c>
      <x:c r="D14" s="5" t="str">
        <x:v>Choose the model for the task.</x:v>
      </x:c>
      <x:c r="E14" s="5" t="str">
        <x:v>A032</x:v>
      </x:c>
      <x:c r="F14" s="5" t="str">
        <x:v>A model selection panel assigning different models to drafting, reasoning and extraction tasks.</x:v>
      </x:c>
      <x:c r="G14" s="5" t="str">
        <x:v>Create</x:v>
      </x:c>
      <x:c r="H14" s="5" t="str">
        <x:f>'Production assets'!F37</x:f>
        <x:v>Not started</x:v>
      </x:c>
      <x:c r="I14" s="5" t="str">
        <x:v>1200 x 1000 WebP crop of shared master</x:v>
      </x:c>
      <x:c r="J14" s="5" t="str">
        <x:v>Generic workflow illustration</x:v>
      </x:c>
      <x:c r="K14" s="5" t="str">
        <x:v>CSS gradient + live UI</x:v>
      </x:c>
      <x:c r="L14" s="5" t="str">
        <x:v>320 x 267</x:v>
      </x:c>
      <x:c r="M14" s="5" t="str">
        <x:v>Cream, peach, pink, blue</x:v>
      </x:c>
      <x:c r="N14" s="5" t="str">
        <x:v>Preserve the existing CSS gradient. Export foreground separately with transparent background. Keep key UI within the central 80%.</x:v>
      </x:c>
      <x:c r="O14" s="5" t="str">
        <x:v>http://localhost:3000/products/agent-os</x:v>
      </x:c>
    </x:row>
    <x:row r="15" ht="51" customHeight="1">
      <x:c r="A15" s="10" t="str">
        <x:v>P04-10</x:v>
      </x:c>
      <x:c r="B15" s="10" t="str">
        <x:v>Agent OS</x:v>
      </x:c>
      <x:c r="C15" s="10" t="str">
        <x:v>Feature card</x:v>
      </x:c>
      <x:c r="D15" s="10" t="str">
        <x:v>Keep useful context close.</x:v>
      </x:c>
      <x:c r="E15" s="10" t="str">
        <x:v>A033</x:v>
      </x:c>
      <x:c r="F15" s="10" t="str">
        <x:v>A memory drawer attaching a relevant document and prior decision to the current task.</x:v>
      </x:c>
      <x:c r="G15" s="10" t="str">
        <x:v>Create</x:v>
      </x:c>
      <x:c r="H15" s="10" t="str">
        <x:f>'Production assets'!F38</x:f>
        <x:v>Not started</x:v>
      </x:c>
      <x:c r="I15" s="10" t="str">
        <x:v>1200 x 1000 WebP crop of shared master</x:v>
      </x:c>
      <x:c r="J15" s="10" t="str">
        <x:v>Generic workflow illustration</x:v>
      </x:c>
      <x:c r="K15" s="10" t="str">
        <x:v>CSS gradient + live UI</x:v>
      </x:c>
      <x:c r="L15" s="10" t="str">
        <x:v>320 x 267</x:v>
      </x:c>
      <x:c r="M15" s="10" t="str">
        <x:v>Cream, peach, pink, blue</x:v>
      </x:c>
      <x:c r="N15" s="10" t="str">
        <x:v>Preserve the existing CSS gradient. Export foreground separately with transparent background. Keep key UI within the central 80%.</x:v>
      </x:c>
      <x:c r="O15" s="10" t="str">
        <x:v>http://localhost:3000/products/agent-os</x:v>
      </x:c>
    </x:row>
    <x:row r="16" ht="38" customHeight="1">
      <x:c r="A16" s="5" t="str">
        <x:v>P04-11</x:v>
      </x:c>
      <x:c r="B16" s="5" t="str">
        <x:v>Agent OS</x:v>
      </x:c>
      <x:c r="C16" s="5" t="str">
        <x:v>Product overview</x:v>
      </x:c>
      <x:c r="D16" s="5" t="str">
        <x:v>The pieces that keep your work connected.</x:v>
      </x:c>
      <x:c r="E16" s="5" t="str">
        <x:v>A009</x:v>
      </x:c>
      <x:c r="F16" s="5" t="str">
        <x:v>Retain the existing interactive workspace. Optional static poster only if a still image is needed.</x:v>
      </x:c>
      <x:c r="G16" s="5" t="str">
        <x:v>Reuse</x:v>
      </x:c>
      <x:c r="H16" s="5" t="str">
        <x:f>'Production assets'!F14</x:f>
        <x:v>Existing</x:v>
      </x:c>
      <x:c r="I16" s="5" t="str">
        <x:v>Live component; optional 1920 px wide poster</x:v>
      </x:c>
      <x:c r="J16" s="5" t="str">
        <x:v>Interactive workspace</x:v>
      </x:c>
      <x:c r="K16" s="5" t="str">
        <x:v>CSS gradient + live UI</x:v>
      </x:c>
      <x:c r="L16" s="5" t="str">
        <x:v>960 x 678</x:v>
      </x:c>
      <x:c r="M16" s="5" t="str">
        <x:v>Cream, peach, pink, blue</x:v>
      </x:c>
      <x:c r="N16" s="5" t="str">
        <x:v>Do not replace working controls with a flattened image.</x:v>
      </x:c>
      <x:c r="O16" s="5" t="str">
        <x:v>http://localhost:3000/products/agent-os</x:v>
      </x:c>
    </x:row>
    <x:row r="17" ht="51" customHeight="1">
      <x:c r="A17" s="10" t="str">
        <x:v>P04-12</x:v>
      </x:c>
      <x:c r="B17" s="10" t="str">
        <x:v>Agent OS</x:v>
      </x:c>
      <x:c r="C17" s="10" t="str">
        <x:v>Feature detail</x:v>
      </x:c>
      <x:c r="D17" s="10" t="str">
        <x:v>See how the steps fit together.</x:v>
      </x:c>
      <x:c r="E17" s="10" t="str">
        <x:v>A026</x:v>
      </x:c>
      <x:c r="F17" s="10" t="str">
        <x:v>A branching agent graph with one highlighted route from request to reviewed output.</x:v>
      </x:c>
      <x:c r="G17" s="10" t="str">
        <x:v>Create</x:v>
      </x:c>
      <x:c r="H17" s="10" t="str">
        <x:f>'Production assets'!F31</x:f>
        <x:v>Not started</x:v>
      </x:c>
      <x:c r="I17" s="10" t="str">
        <x:v>Editable SVG/layers + 1200 x 1200 WebP</x:v>
      </x:c>
      <x:c r="J17" s="10" t="str">
        <x:v>Generic workflow illustration</x:v>
      </x:c>
      <x:c r="K17" s="10" t="str">
        <x:v>CSS gradient + live UI</x:v>
      </x:c>
      <x:c r="L17" s="10" t="str">
        <x:v>580 x 580</x:v>
      </x:c>
      <x:c r="M17" s="10" t="str">
        <x:v>Cream, peach, pink, blue</x:v>
      </x:c>
      <x:c r="N17" s="10" t="str">
        <x:v>Preserve the existing CSS gradient. Export foreground separately with transparent background. Keep key UI within the central 80%.</x:v>
      </x:c>
      <x:c r="O17" s="10" t="str">
        <x:v>http://localhost:3000/products/agent-os#graph-based-execution</x:v>
      </x:c>
    </x:row>
    <x:row r="18" ht="51" customHeight="1">
      <x:c r="A18" s="5" t="str">
        <x:v>P04-13</x:v>
      </x:c>
      <x:c r="B18" s="5" t="str">
        <x:v>Agent OS</x:v>
      </x:c>
      <x:c r="C18" s="5" t="str">
        <x:v>Feature detail</x:v>
      </x:c>
      <x:c r="D18" s="5" t="str">
        <x:v>Build once. Use it again.</x:v>
      </x:c>
      <x:c r="E18" s="5" t="str">
        <x:v>A027</x:v>
      </x:c>
      <x:c r="F18" s="5" t="str">
        <x:v>Reusable skill, tool and trigger blocks snapping into a single workflow.</x:v>
      </x:c>
      <x:c r="G18" s="5" t="str">
        <x:v>Create</x:v>
      </x:c>
      <x:c r="H18" s="5" t="str">
        <x:f>'Production assets'!F32</x:f>
        <x:v>Not started</x:v>
      </x:c>
      <x:c r="I18" s="5" t="str">
        <x:v>Editable SVG/layers + 1200 x 1200 WebP</x:v>
      </x:c>
      <x:c r="J18" s="5" t="str">
        <x:v>Generic workflow illustration</x:v>
      </x:c>
      <x:c r="K18" s="5" t="str">
        <x:v>CSS gradient + live UI</x:v>
      </x:c>
      <x:c r="L18" s="5" t="str">
        <x:v>532 x 532</x:v>
      </x:c>
      <x:c r="M18" s="5" t="str">
        <x:v>Cream, peach, pink, blue</x:v>
      </x:c>
      <x:c r="N18" s="5" t="str">
        <x:v>Preserve the existing CSS gradient. Export foreground separately with transparent background. Keep key UI within the central 80%.</x:v>
      </x:c>
      <x:c r="O18" s="5" t="str">
        <x:v>http://localhost:3000/products/agent-os#unified-building-blocks</x:v>
      </x:c>
    </x:row>
    <x:row r="19" ht="51" customHeight="1">
      <x:c r="A19" s="10" t="str">
        <x:v>P04-14</x:v>
      </x:c>
      <x:c r="B19" s="10" t="str">
        <x:v>Agent OS</x:v>
      </x:c>
      <x:c r="C19" s="10" t="str">
        <x:v>Feature detail</x:v>
      </x:c>
      <x:c r="D19" s="10" t="str">
        <x:v>Give each agent a clear role.</x:v>
      </x:c>
      <x:c r="E19" s="10" t="str">
        <x:v>A028</x:v>
      </x:c>
      <x:c r="F19" s="10" t="str">
        <x:v>Three agent role cards passing one shared task and its context between them.</x:v>
      </x:c>
      <x:c r="G19" s="10" t="str">
        <x:v>Create</x:v>
      </x:c>
      <x:c r="H19" s="10" t="str">
        <x:f>'Production assets'!F33</x:f>
        <x:v>Not started</x:v>
      </x:c>
      <x:c r="I19" s="10" t="str">
        <x:v>Editable SVG/layers + 1200 x 1200 WebP</x:v>
      </x:c>
      <x:c r="J19" s="10" t="str">
        <x:v>Generic workflow illustration</x:v>
      </x:c>
      <x:c r="K19" s="10" t="str">
        <x:v>CSS gradient + live UI</x:v>
      </x:c>
      <x:c r="L19" s="10" t="str">
        <x:v>580 x 580</x:v>
      </x:c>
      <x:c r="M19" s="10" t="str">
        <x:v>Cream, peach, pink, blue</x:v>
      </x:c>
      <x:c r="N19" s="10" t="str">
        <x:v>Preserve the existing CSS gradient. Export foreground separately with transparent background. Keep key UI within the central 80%.</x:v>
      </x:c>
      <x:c r="O19" s="10" t="str">
        <x:v>http://localhost:3000/products/agent-os#multi-agent-orchestration</x:v>
      </x:c>
    </x:row>
    <x:row r="20" ht="51" customHeight="1">
      <x:c r="A20" s="5" t="str">
        <x:v>P04-15</x:v>
      </x:c>
      <x:c r="B20" s="5" t="str">
        <x:v>Agent OS</x:v>
      </x:c>
      <x:c r="C20" s="5" t="str">
        <x:v>Feature detail</x:v>
      </x:c>
      <x:c r="D20" s="5" t="str">
        <x:v>Make the next run better.</x:v>
      </x:c>
      <x:c r="E20" s="5" t="str">
        <x:v>A029</x:v>
      </x:c>
      <x:c r="F20" s="5" t="str">
        <x:v>A run review panel showing a correction beside a revised workflow step.</x:v>
      </x:c>
      <x:c r="G20" s="5" t="str">
        <x:v>Create</x:v>
      </x:c>
      <x:c r="H20" s="5" t="str">
        <x:f>'Production assets'!F34</x:f>
        <x:v>Not started</x:v>
      </x:c>
      <x:c r="I20" s="5" t="str">
        <x:v>Editable SVG/layers + 1200 x 1200 WebP</x:v>
      </x:c>
      <x:c r="J20" s="5" t="str">
        <x:v>Generic workflow illustration</x:v>
      </x:c>
      <x:c r="K20" s="5" t="str">
        <x:v>CSS gradient + live UI</x:v>
      </x:c>
      <x:c r="L20" s="5" t="str">
        <x:v>532 x 532</x:v>
      </x:c>
      <x:c r="M20" s="5" t="str">
        <x:v>Cream, peach, pink, blue</x:v>
      </x:c>
      <x:c r="N20" s="5" t="str">
        <x:v>Preserve the existing CSS gradient. Export foreground separately with transparent background. Keep key UI within the central 80%.</x:v>
      </x:c>
      <x:c r="O20" s="5" t="str">
        <x:v>http://localhost:3000/products/agent-os#review-and-iteration</x:v>
      </x:c>
    </x:row>
    <x:row r="21" ht="51" customHeight="1">
      <x:c r="A21" s="10" t="str">
        <x:v>P04-16</x:v>
      </x:c>
      <x:c r="B21" s="10" t="str">
        <x:v>Agent OS</x:v>
      </x:c>
      <x:c r="C21" s="10" t="str">
        <x:v>Feature detail</x:v>
      </x:c>
      <x:c r="D21" s="10" t="str">
        <x:v>Define a good result.</x:v>
      </x:c>
      <x:c r="E21" s="10" t="str">
        <x:v>A030</x:v>
      </x:c>
      <x:c r="F21" s="10" t="str">
        <x:v>A result checklist comparing expected and actual outputs, with one item needing review.</x:v>
      </x:c>
      <x:c r="G21" s="10" t="str">
        <x:v>Create</x:v>
      </x:c>
      <x:c r="H21" s="10" t="str">
        <x:f>'Production assets'!F35</x:f>
        <x:v>Not started</x:v>
      </x:c>
      <x:c r="I21" s="10" t="str">
        <x:v>Editable SVG/layers + 1200 x 1200 WebP</x:v>
      </x:c>
      <x:c r="J21" s="10" t="str">
        <x:v>Generic workflow illustration</x:v>
      </x:c>
      <x:c r="K21" s="10" t="str">
        <x:v>CSS gradient + live UI</x:v>
      </x:c>
      <x:c r="L21" s="10" t="str">
        <x:v>580 x 580</x:v>
      </x:c>
      <x:c r="M21" s="10" t="str">
        <x:v>Cream, peach, pink, blue</x:v>
      </x:c>
      <x:c r="N21" s="10" t="str">
        <x:v>Preserve the existing CSS gradient. Export foreground separately with transparent background. Keep key UI within the central 80%.</x:v>
      </x:c>
      <x:c r="O21" s="10" t="str">
        <x:v>http://localhost:3000/products/agent-os#evaluation-framework</x:v>
      </x:c>
    </x:row>
    <x:row r="22" ht="51" customHeight="1">
      <x:c r="A22" s="5" t="str">
        <x:v>P04-17</x:v>
      </x:c>
      <x:c r="B22" s="5" t="str">
        <x:v>Agent OS</x:v>
      </x:c>
      <x:c r="C22" s="5" t="str">
        <x:v>Feature detail</x:v>
      </x:c>
      <x:c r="D22" s="5" t="str">
        <x:v>Keep people in the decisions.</x:v>
      </x:c>
      <x:c r="E22" s="5" t="str">
        <x:v>A031</x:v>
      </x:c>
      <x:c r="F22" s="5" t="str">
        <x:v>An approval inbox with a proposed action, supporting context and approve or revise controls.</x:v>
      </x:c>
      <x:c r="G22" s="5" t="str">
        <x:v>Create</x:v>
      </x:c>
      <x:c r="H22" s="5" t="str">
        <x:f>'Production assets'!F36</x:f>
        <x:v>Not started</x:v>
      </x:c>
      <x:c r="I22" s="5" t="str">
        <x:v>Editable SVG/layers + 1200 x 1200 WebP</x:v>
      </x:c>
      <x:c r="J22" s="5" t="str">
        <x:v>Generic workflow illustration</x:v>
      </x:c>
      <x:c r="K22" s="5" t="str">
        <x:v>CSS gradient + live UI</x:v>
      </x:c>
      <x:c r="L22" s="5" t="str">
        <x:v>532 x 532</x:v>
      </x:c>
      <x:c r="M22" s="5" t="str">
        <x:v>Cream, peach, pink, blue</x:v>
      </x:c>
      <x:c r="N22" s="5" t="str">
        <x:v>Preserve the existing CSS gradient. Export foreground separately with transparent background. Keep key UI within the central 80%.</x:v>
      </x:c>
      <x:c r="O22" s="5" t="str">
        <x:v>http://localhost:3000/products/agent-os#human-in-the-loop</x:v>
      </x:c>
    </x:row>
    <x:row r="23" ht="51" customHeight="1">
      <x:c r="A23" s="10" t="str">
        <x:v>P04-18</x:v>
      </x:c>
      <x:c r="B23" s="10" t="str">
        <x:v>Agent OS</x:v>
      </x:c>
      <x:c r="C23" s="10" t="str">
        <x:v>Feature detail</x:v>
      </x:c>
      <x:c r="D23" s="10" t="str">
        <x:v>Choose the model for the task.</x:v>
      </x:c>
      <x:c r="E23" s="10" t="str">
        <x:v>A032</x:v>
      </x:c>
      <x:c r="F23" s="10" t="str">
        <x:v>A model selection panel assigning different models to drafting, reasoning and extraction tasks.</x:v>
      </x:c>
      <x:c r="G23" s="10" t="str">
        <x:v>Create</x:v>
      </x:c>
      <x:c r="H23" s="10" t="str">
        <x:f>'Production assets'!F37</x:f>
        <x:v>Not started</x:v>
      </x:c>
      <x:c r="I23" s="10" t="str">
        <x:v>Editable SVG/layers + 1200 x 1200 WebP</x:v>
      </x:c>
      <x:c r="J23" s="10" t="str">
        <x:v>Generic workflow illustration</x:v>
      </x:c>
      <x:c r="K23" s="10" t="str">
        <x:v>CSS gradient + live UI</x:v>
      </x:c>
      <x:c r="L23" s="10" t="str">
        <x:v>580 x 580</x:v>
      </x:c>
      <x:c r="M23" s="10" t="str">
        <x:v>Cream, peach, pink, blue</x:v>
      </x:c>
      <x:c r="N23" s="10" t="str">
        <x:v>Preserve the existing CSS gradient. Export foreground separately with transparent background. Keep key UI within the central 80%.</x:v>
      </x:c>
      <x:c r="O23" s="10" t="str">
        <x:v>http://localhost:3000/products/agent-os#model-flexibility</x:v>
      </x:c>
    </x:row>
    <x:row r="24" ht="51" customHeight="1">
      <x:c r="A24" s="5" t="str">
        <x:v>P04-19</x:v>
      </x:c>
      <x:c r="B24" s="5" t="str">
        <x:v>Agent OS</x:v>
      </x:c>
      <x:c r="C24" s="5" t="str">
        <x:v>Feature detail</x:v>
      </x:c>
      <x:c r="D24" s="5" t="str">
        <x:v>Keep useful context close.</x:v>
      </x:c>
      <x:c r="E24" s="5" t="str">
        <x:v>A033</x:v>
      </x:c>
      <x:c r="F24" s="5" t="str">
        <x:v>A memory drawer attaching a relevant document and prior decision to the current task.</x:v>
      </x:c>
      <x:c r="G24" s="5" t="str">
        <x:v>Create</x:v>
      </x:c>
      <x:c r="H24" s="5" t="str">
        <x:f>'Production assets'!F38</x:f>
        <x:v>Not started</x:v>
      </x:c>
      <x:c r="I24" s="5" t="str">
        <x:v>Editable SVG/layers + 1200 x 1200 WebP</x:v>
      </x:c>
      <x:c r="J24" s="5" t="str">
        <x:v>Generic workflow illustration</x:v>
      </x:c>
      <x:c r="K24" s="5" t="str">
        <x:v>CSS gradient + live UI</x:v>
      </x:c>
      <x:c r="L24" s="5" t="str">
        <x:v>532 x 532</x:v>
      </x:c>
      <x:c r="M24" s="5" t="str">
        <x:v>Cream, peach, pink, blue</x:v>
      </x:c>
      <x:c r="N24" s="5" t="str">
        <x:v>Preserve the existing CSS gradient. Export foreground separately with transparent background. Keep key UI within the central 80%.</x:v>
      </x:c>
      <x:c r="O24" s="5" t="str">
        <x:v>http://localhost:3000/products/agent-os#memory-system</x:v>
      </x:c>
    </x:row>
    <x:row r="25" ht="38" customHeight="1">
      <x:c r="A25" s="10" t="str">
        <x:v>P04-20</x:v>
      </x:c>
      <x:c r="B25" s="10" t="str">
        <x:v>Agent OS</x:v>
      </x:c>
      <x:c r="C25" s="10" t="str">
        <x:v>Related product thumbnail</x:v>
      </x:c>
      <x:c r="D25" s="10" t="str">
        <x:v>Platform</x:v>
      </x:c>
      <x:c r="E25" s="10" t="str">
        <x:v>A015</x:v>
      </x:c>
      <x:c r="F25" s="10" t="str">
        <x:v>A compact workspace overview linking agents, tools and shared knowledge.</x:v>
      </x:c>
      <x:c r="G25" s="10" t="str">
        <x:v>Create</x:v>
      </x:c>
      <x:c r="H25" s="10" t="str">
        <x:f>'Production assets'!F20</x:f>
        <x:v>Not started</x:v>
      </x:c>
      <x:c r="I25" s="10" t="str">
        <x:v>Editable SVG + 1200 x 1000 WebP</x:v>
      </x:c>
      <x:c r="J25" s="10" t="str">
        <x:v>Generic star on gradient</x:v>
      </x:c>
      <x:c r="K25" s="10" t="str">
        <x:v>/brand/calendly/assistant-hero.svg + star glyph</x:v>
      </x:c>
      <x:c r="L25" s="10" t="str">
        <x:v>227 x 189</x:v>
      </x:c>
      <x:c r="M25" s="10" t="str">
        <x:v>Ice blue, white, teal, deep green</x:v>
      </x:c>
      <x:c r="N25" s="10" t="str">
        <x:v>Create once and reuse across related-product cards and the Platform card rail. Keep the gradient separate.</x:v>
      </x:c>
      <x:c r="O25" s="10" t="str">
        <x:v>http://localhost:3000/products/agent-os</x:v>
      </x:c>
    </x:row>
    <x:row r="26" ht="38" customHeight="1">
      <x:c r="A26" s="5" t="str">
        <x:v>P04-21</x:v>
      </x:c>
      <x:c r="B26" s="5" t="str">
        <x:v>Agent OS</x:v>
      </x:c>
      <x:c r="C26" s="5" t="str">
        <x:v>Related product thumbnail</x:v>
      </x:c>
      <x:c r="D26" s="5" t="str">
        <x:v>Integrations</x:v>
      </x:c>
      <x:c r="E26" s="5" t="str">
        <x:v>A006</x:v>
      </x:c>
      <x:c r="F26" s="5" t="str">
        <x:v>A central Innflow node connected to a small set of tool tiles.</x:v>
      </x:c>
      <x:c r="G26" s="5" t="str">
        <x:v>Create</x:v>
      </x:c>
      <x:c r="H26" s="5" t="str">
        <x:f>'Production assets'!F11</x:f>
        <x:v>Not started</x:v>
      </x:c>
      <x:c r="I26" s="5" t="str">
        <x:v>Editable SVG + 1200 x 1000 WebP</x:v>
      </x:c>
      <x:c r="J26" s="5" t="str">
        <x:v>Generic star on gradient</x:v>
      </x:c>
      <x:c r="K26" s="5" t="str">
        <x:v>/brand/calendly/scheduling-hero.svg + star glyph</x:v>
      </x:c>
      <x:c r="L26" s="5" t="str">
        <x:v>227 x 189</x:v>
      </x:c>
      <x:c r="M26" s="5" t="str">
        <x:v>Sky blue, pale aqua, navy</x:v>
      </x:c>
      <x:c r="N26" s="5" t="str">
        <x:v>Create once and reuse across related-product cards and the Platform card rail. Keep the gradient separate.</x:v>
      </x:c>
      <x:c r="O26" s="5" t="str">
        <x:v>http://localhost:3000/products/agent-os</x:v>
      </x:c>
    </x:row>
    <x:row r="27" ht="38" customHeight="1">
      <x:c r="A27" s="10" t="str">
        <x:v>P04-22</x:v>
      </x:c>
      <x:c r="B27" s="10" t="str">
        <x:v>Agent OS</x:v>
      </x:c>
      <x:c r="C27" s="10" t="str">
        <x:v>Related product thumbnail</x:v>
      </x:c>
      <x:c r="D27" s="10" t="str">
        <x:v>Agentic Workflows</x:v>
      </x:c>
      <x:c r="E27" s="10" t="str">
        <x:v>A010</x:v>
      </x:c>
      <x:c r="F27" s="10" t="str">
        <x:v>A compact workflow canvas with trigger, branch and action nodes.</x:v>
      </x:c>
      <x:c r="G27" s="10" t="str">
        <x:v>Create</x:v>
      </x:c>
      <x:c r="H27" s="10" t="str">
        <x:f>'Production assets'!F15</x:f>
        <x:v>Not started</x:v>
      </x:c>
      <x:c r="I27" s="10" t="str">
        <x:v>Editable SVG + 1200 x 1000 WebP</x:v>
      </x:c>
      <x:c r="J27" s="10" t="str">
        <x:v>Generic star on gradient</x:v>
      </x:c>
      <x:c r="K27" s="10" t="str">
        <x:v>/brand/calendly/notetaker-hero.svg + star glyph</x:v>
      </x:c>
      <x:c r="L27" s="10" t="str">
        <x:v>227 x 189</x:v>
      </x:c>
      <x:c r="M27" s="10" t="str">
        <x:v>Navy, blue, blush, lavender</x:v>
      </x:c>
      <x:c r="N27" s="10" t="str">
        <x:v>Create once and reuse across related-product cards and the Platform card rail. Keep the gradient separate.</x:v>
      </x:c>
      <x:c r="O27" s="10" t="str">
        <x:v>http://localhost:3000/products/agent-os</x:v>
      </x:c>
    </x:row>
    <x:row r="28" ht="38" customHeight="1">
      <x:c r="A28" s="5" t="str">
        <x:v>P04-23</x:v>
      </x:c>
      <x:c r="B28" s="5" t="str">
        <x:v>Agent OS</x:v>
      </x:c>
      <x:c r="C28" s="5" t="str">
        <x:v>Related product thumbnail</x:v>
      </x:c>
      <x:c r="D28" s="5" t="str">
        <x:v>AI Agents</x:v>
      </x:c>
      <x:c r="E28" s="5" t="str">
        <x:v>A012</x:v>
      </x:c>
      <x:c r="F28" s="5" t="str">
        <x:v>An agent task card with linked evidence and a proposed next action.</x:v>
      </x:c>
      <x:c r="G28" s="5" t="str">
        <x:v>Create</x:v>
      </x:c>
      <x:c r="H28" s="5" t="str">
        <x:f>'Production assets'!F17</x:f>
        <x:v>Not started</x:v>
      </x:c>
      <x:c r="I28" s="5" t="str">
        <x:v>Editable SVG + 1200 x 1000 WebP</x:v>
      </x:c>
      <x:c r="J28" s="5" t="str">
        <x:v>Generic star on gradient</x:v>
      </x:c>
      <x:c r="K28" s="5" t="str">
        <x:v>/brand/calendly/payments-hero.svg + star glyph</x:v>
      </x:c>
      <x:c r="L28" s="5" t="str">
        <x:v>227 x 189</x:v>
      </x:c>
      <x:c r="M28" s="5" t="str">
        <x:v>Pale mint, aqua, blue, navy</x:v>
      </x:c>
      <x:c r="N28" s="5" t="str">
        <x:v>Create once and reuse across related-product cards and the Platform card rail. Keep the gradient separate.</x:v>
      </x:c>
      <x:c r="O28" s="5" t="str">
        <x:v>http://localhost:3000/products/agent-os</x:v>
      </x:c>
    </x:row>
    <x:row r="29" ht="38" customHeight="1">
      <x:c r="A29" s="10" t="str">
        <x:v>P04-24</x:v>
      </x:c>
      <x:c r="B29" s="10" t="str">
        <x:v>Agent OS</x:v>
      </x:c>
      <x:c r="C29" s="10" t="str">
        <x:v>Related product thumbnail</x:v>
      </x:c>
      <x:c r="D29" s="10" t="str">
        <x:v>Agent Studio</x:v>
      </x:c>
      <x:c r="E29" s="10" t="str">
        <x:v>A013</x:v>
      </x:c>
      <x:c r="F29" s="10" t="str">
        <x:v>A miniature visual editor with configurable workflow nodes.</x:v>
      </x:c>
      <x:c r="G29" s="10" t="str">
        <x:v>Create</x:v>
      </x:c>
      <x:c r="H29" s="10" t="str">
        <x:f>'Production assets'!F18</x:f>
        <x:v>Not started</x:v>
      </x:c>
      <x:c r="I29" s="10" t="str">
        <x:v>Editable SVG + 1200 x 1000 WebP</x:v>
      </x:c>
      <x:c r="J29" s="10" t="str">
        <x:v>Generic star on gradient</x:v>
      </x:c>
      <x:c r="K29" s="10" t="str">
        <x:v>/brand/calendly/assistant-hero.svg + star glyph</x:v>
      </x:c>
      <x:c r="L29" s="10" t="str">
        <x:v>227 x 189</x:v>
      </x:c>
      <x:c r="M29" s="10" t="str">
        <x:v>Ice blue, white, teal, deep green</x:v>
      </x:c>
      <x:c r="N29" s="10" t="str">
        <x:v>Create once and reuse across related-product cards and the Platform card rail. Keep the gradient separate.</x:v>
      </x:c>
      <x:c r="O29" s="10" t="str">
        <x:v>http://localhost:3000/products/agent-os</x:v>
      </x:c>
    </x:row>
  </x:sheetData>
  <x:pageMargins left="0.7" right="0.7" top="0.75" bottom="0.75" header="0.3" footer="0.3"/>
  <x:tableParts count="1">
    <x:tablePart xmlns:r="http://schemas.openxmlformats.org/officeDocument/2006/relationships" r:id="R1f711f38c1924895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4" hidden="0" customWidth="1"/>
    <x:col min="2" max="2" width="25" hidden="0" customWidth="1"/>
    <x:col min="3" max="3" width="24" hidden="0" customWidth="1"/>
    <x:col min="4" max="4" width="40" hidden="0" customWidth="1"/>
    <x:col min="5" max="5" width="12" hidden="0" customWidth="1"/>
    <x:col min="6" max="6" width="76" hidden="0" customWidth="1"/>
    <x:col min="7" max="7" width="14" hidden="0" customWidth="1"/>
    <x:col min="8" max="8" width="17" hidden="0" customWidth="1"/>
    <x:col min="9" max="9" width="40" hidden="0" customWidth="1"/>
    <x:col min="10" max="10" width="28" hidden="0" customWidth="1"/>
    <x:col min="11" max="11" width="65" hidden="0" customWidth="1"/>
    <x:col min="12" max="12" width="18" hidden="0" customWidth="1"/>
    <x:col min="13" max="13" width="30" hidden="0" customWidth="1"/>
    <x:col min="14" max="14" width="65" hidden="0" customWidth="1"/>
    <x:col min="15" max="15" width="6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>
      <x:c r="A2" s="2" t="str">
        <x:v>AI Agents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>
      <x:c r="A3" s="3" t="str">
        <x:v>/products/ai-agents | Payments reference. Status links to Production assets.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30" customHeight="1">
      <x:c r="A5" s="9" t="str">
        <x:v>Placement ID</x:v>
      </x:c>
      <x:c r="B5" s="9" t="str">
        <x:v>Page</x:v>
      </x:c>
      <x:c r="C5" s="9" t="str">
        <x:v>Section</x:v>
      </x:c>
      <x:c r="D5" s="9" t="str">
        <x:v>Section title</x:v>
      </x:c>
      <x:c r="E5" s="9" t="str">
        <x:v>Asset ID</x:v>
      </x:c>
      <x:c r="F5" s="9" t="str">
        <x:v>Recommended artwork</x:v>
      </x:c>
      <x:c r="G5" s="9" t="str">
        <x:v>Action</x:v>
      </x:c>
      <x:c r="H5" s="9" t="str">
        <x:v>Status</x:v>
      </x:c>
      <x:c r="I5" s="9" t="str">
        <x:v>Recommended deliverable</x:v>
      </x:c>
      <x:c r="J5" s="9" t="str">
        <x:v>Current artwork</x:v>
      </x:c>
      <x:c r="K5" s="9" t="str">
        <x:v>Current sources</x:v>
      </x:c>
      <x:c r="L5" s="9" t="str">
        <x:v>Desktop size (px)</x:v>
      </x:c>
      <x:c r="M5" s="9" t="str">
        <x:v>Gradient palette</x:v>
      </x:c>
      <x:c r="N5" s="9" t="str">
        <x:v>Reuse and crop notes</x:v>
      </x:c>
      <x:c r="O5" s="9" t="str">
        <x:v>Page reference</x:v>
      </x:c>
    </x:row>
    <x:row r="6" ht="38" customHeight="1">
      <x:c r="A6" s="5" t="str">
        <x:v>P05-01</x:v>
      </x:c>
      <x:c r="B6" s="5" t="str">
        <x:v>AI Agents</x:v>
      </x:c>
      <x:c r="C6" s="5" t="str">
        <x:v>Hero background</x:v>
      </x:c>
      <x:c r="D6" s="5" t="str">
        <x:v>A little more help. A lot less chasing.</x:v>
      </x:c>
      <x:c r="E6" s="5" t="str">
        <x:v>A034</x:v>
      </x:c>
      <x:c r="F6" s="5" t="str">
        <x:v>Reuse the existing Paper SVG as a separate background layer. No new background required.</x:v>
      </x:c>
      <x:c r="G6" s="5" t="str">
        <x:v>Reuse</x:v>
      </x:c>
      <x:c r="H6" s="5" t="str">
        <x:f>'Production assets'!F39</x:f>
        <x:v>Existing</x:v>
      </x:c>
      <x:c r="I6" s="5" t="str">
        <x:v>Existing scalable SVG</x:v>
      </x:c>
      <x:c r="J6" s="5" t="str">
        <x:v>Existing background</x:v>
      </x:c>
      <x:c r="K6" s="5" t="str">
        <x:v>/brand/calendly/payments-hero.svg</x:v>
      </x:c>
      <x:c r="L6" s="5" t="str">
        <x:v>1387 x 776</x:v>
      </x:c>
      <x:c r="M6" s="5" t="str">
        <x:v>Pale mint, aqua, blue, navy</x:v>
      </x:c>
      <x:c r="N6" s="5" t="str">
        <x:v>Shared by every page using this style.</x:v>
      </x:c>
      <x:c r="O6" s="5" t="str">
        <x:v>http://localhost:3000/products/ai-agents</x:v>
      </x:c>
    </x:row>
    <x:row r="7" ht="51" customHeight="1">
      <x:c r="A7" s="10" t="str">
        <x:v>P05-02</x:v>
      </x:c>
      <x:c r="B7" s="10" t="str">
        <x:v>AI Agents</x:v>
      </x:c>
      <x:c r="C7" s="10" t="str">
        <x:v>Capability overview</x:v>
      </x:c>
      <x:c r="D7" s="10" t="str">
        <x:v>Problem solver</x:v>
      </x:c>
      <x:c r="E7" s="10" t="str">
        <x:v>A035</x:v>
      </x:c>
      <x:c r="F7" s="10" t="str">
        <x:v>An incoming business question, linked evidence cards and a draft answer ready for review.</x:v>
      </x:c>
      <x:c r="G7" s="10" t="str">
        <x:v>Create</x:v>
      </x:c>
      <x:c r="H7" s="10" t="str">
        <x:f>'Production assets'!F40</x:f>
        <x:v>Not started</x:v>
      </x:c>
      <x:c r="I7" s="10" t="str">
        <x:v>Editable SVG/layers + 1200 x 1200 WebP</x:v>
      </x:c>
      <x:c r="J7" s="10" t="str">
        <x:v>Generic workflow illustration</x:v>
      </x:c>
      <x:c r="K7" s="10" t="str">
        <x:v>CSS gradient + live UI</x:v>
      </x:c>
      <x:c r="L7" s="10" t="str">
        <x:v>580 x 580</x:v>
      </x:c>
      <x:c r="M7" s="10" t="str">
        <x:v>Pale mint, aqua, blue, navy</x:v>
      </x:c>
      <x:c r="N7" s="10" t="str">
        <x:v>Preserve the existing CSS gradient. Export foreground separately with transparent background. Keep key UI within the central 80%. Reuses the first feature detail artwork.</x:v>
      </x:c>
      <x:c r="O7" s="10" t="str">
        <x:v>http://localhost:3000/products/ai-agents#problem-solver</x:v>
      </x:c>
    </x:row>
    <x:row r="8" ht="51" customHeight="1">
      <x:c r="A8" s="5" t="str">
        <x:v>P05-03</x:v>
      </x:c>
      <x:c r="B8" s="5" t="str">
        <x:v>AI Agents</x:v>
      </x:c>
      <x:c r="C8" s="5" t="str">
        <x:v>Feature card</x:v>
      </x:c>
      <x:c r="D8" s="5" t="str">
        <x:v>Make room for a clearer answer.</x:v>
      </x:c>
      <x:c r="E8" s="5" t="str">
        <x:v>A035</x:v>
      </x:c>
      <x:c r="F8" s="5" t="str">
        <x:v>An incoming business question, linked evidence cards and a draft answer ready for review.</x:v>
      </x:c>
      <x:c r="G8" s="5" t="str">
        <x:v>Create</x:v>
      </x:c>
      <x:c r="H8" s="5" t="str">
        <x:f>'Production assets'!F40</x:f>
        <x:v>Not started</x:v>
      </x:c>
      <x:c r="I8" s="5" t="str">
        <x:v>1200 x 1000 WebP crop of shared master</x:v>
      </x:c>
      <x:c r="J8" s="5" t="str">
        <x:v>Generic workflow illustration</x:v>
      </x:c>
      <x:c r="K8" s="5" t="str">
        <x:v>CSS gradient + live UI</x:v>
      </x:c>
      <x:c r="L8" s="5" t="str">
        <x:v>320 x 267</x:v>
      </x:c>
      <x:c r="M8" s="5" t="str">
        <x:v>Pale mint, aqua, blue, navy</x:v>
      </x:c>
      <x:c r="N8" s="5" t="str">
        <x:v>Preserve the existing CSS gradient. Export foreground separately with transparent background. Keep key UI within the central 80%.</x:v>
      </x:c>
      <x:c r="O8" s="5" t="str">
        <x:v>http://localhost:3000/products/ai-agents</x:v>
      </x:c>
    </x:row>
    <x:row r="9" ht="51" customHeight="1">
      <x:c r="A9" s="10" t="str">
        <x:v>P05-04</x:v>
      </x:c>
      <x:c r="B9" s="10" t="str">
        <x:v>AI Agents</x:v>
      </x:c>
      <x:c r="C9" s="10" t="str">
        <x:v>Feature card</x:v>
      </x:c>
      <x:c r="D9" s="10" t="str">
        <x:v>Turn the request into a plan.</x:v>
      </x:c>
      <x:c r="E9" s="10" t="str">
        <x:v>A036</x:v>
      </x:c>
      <x:c r="F9" s="10" t="str">
        <x:v>A request turning into an ordered plan with dependencies and a human review step.</x:v>
      </x:c>
      <x:c r="G9" s="10" t="str">
        <x:v>Create</x:v>
      </x:c>
      <x:c r="H9" s="10" t="str">
        <x:f>'Production assets'!F41</x:f>
        <x:v>Not started</x:v>
      </x:c>
      <x:c r="I9" s="10" t="str">
        <x:v>1200 x 1000 WebP crop of shared master</x:v>
      </x:c>
      <x:c r="J9" s="10" t="str">
        <x:v>Generic workflow illustration</x:v>
      </x:c>
      <x:c r="K9" s="10" t="str">
        <x:v>CSS gradient + live UI</x:v>
      </x:c>
      <x:c r="L9" s="10" t="str">
        <x:v>320 x 267</x:v>
      </x:c>
      <x:c r="M9" s="10" t="str">
        <x:v>Pale mint, aqua, blue, navy</x:v>
      </x:c>
      <x:c r="N9" s="10" t="str">
        <x:v>Preserve the existing CSS gradient. Export foreground separately with transparent background. Keep key UI within the central 80%.</x:v>
      </x:c>
      <x:c r="O9" s="10" t="str">
        <x:v>http://localhost:3000/products/ai-agents</x:v>
      </x:c>
    </x:row>
    <x:row r="10" ht="51" customHeight="1">
      <x:c r="A10" s="5" t="str">
        <x:v>P05-05</x:v>
      </x:c>
      <x:c r="B10" s="5" t="str">
        <x:v>AI Agents</x:v>
      </x:c>
      <x:c r="C10" s="5" t="str">
        <x:v>Feature card</x:v>
      </x:c>
      <x:c r="D10" s="5" t="str">
        <x:v>Keep your tools in the flow.</x:v>
      </x:c>
      <x:c r="E10" s="5" t="str">
        <x:v>A037</x:v>
      </x:c>
      <x:c r="F10" s="5" t="str">
        <x:v>An agent connecting to an inbox, shared files and a record system through scoped tool cards.</x:v>
      </x:c>
      <x:c r="G10" s="5" t="str">
        <x:v>Create</x:v>
      </x:c>
      <x:c r="H10" s="5" t="str">
        <x:f>'Production assets'!F42</x:f>
        <x:v>Not started</x:v>
      </x:c>
      <x:c r="I10" s="5" t="str">
        <x:v>1200 x 1000 WebP crop of shared master</x:v>
      </x:c>
      <x:c r="J10" s="5" t="str">
        <x:v>Generic workflow illustration</x:v>
      </x:c>
      <x:c r="K10" s="5" t="str">
        <x:v>CSS gradient + live UI</x:v>
      </x:c>
      <x:c r="L10" s="5" t="str">
        <x:v>320 x 267</x:v>
      </x:c>
      <x:c r="M10" s="5" t="str">
        <x:v>Pale mint, aqua, blue, navy</x:v>
      </x:c>
      <x:c r="N10" s="5" t="str">
        <x:v>Preserve the existing CSS gradient. Export foreground separately with transparent background. Keep key UI within the central 80%.</x:v>
      </x:c>
      <x:c r="O10" s="5" t="str">
        <x:v>http://localhost:3000/products/ai-agents</x:v>
      </x:c>
    </x:row>
    <x:row r="11" ht="51" customHeight="1">
      <x:c r="A11" s="10" t="str">
        <x:v>P05-06</x:v>
      </x:c>
      <x:c r="B11" s="10" t="str">
        <x:v>AI Agents</x:v>
      </x:c>
      <x:c r="C11" s="10" t="str">
        <x:v>Feature card</x:v>
      </x:c>
      <x:c r="D11" s="10" t="str">
        <x:v>Move the work forward.</x:v>
      </x:c>
      <x:c r="E11" s="10" t="str">
        <x:v>A038</x:v>
      </x:c>
      <x:c r="F11" s="10" t="str">
        <x:v>An agent task progressing through a tool action, status update and reviewed completion.</x:v>
      </x:c>
      <x:c r="G11" s="10" t="str">
        <x:v>Create</x:v>
      </x:c>
      <x:c r="H11" s="10" t="str">
        <x:f>'Production assets'!F43</x:f>
        <x:v>Not started</x:v>
      </x:c>
      <x:c r="I11" s="10" t="str">
        <x:v>1200 x 1000 WebP crop of shared master</x:v>
      </x:c>
      <x:c r="J11" s="10" t="str">
        <x:v>Generic workflow illustration</x:v>
      </x:c>
      <x:c r="K11" s="10" t="str">
        <x:v>CSS gradient + live UI</x:v>
      </x:c>
      <x:c r="L11" s="10" t="str">
        <x:v>320 x 267</x:v>
      </x:c>
      <x:c r="M11" s="10" t="str">
        <x:v>Pale mint, aqua, blue, navy</x:v>
      </x:c>
      <x:c r="N11" s="10" t="str">
        <x:v>Preserve the existing CSS gradient. Export foreground separately with transparent background. Keep key UI within the central 80%.</x:v>
      </x:c>
      <x:c r="O11" s="10" t="str">
        <x:v>http://localhost:3000/products/ai-agents</x:v>
      </x:c>
    </x:row>
    <x:row r="12" ht="51" customHeight="1">
      <x:c r="A12" s="5" t="str">
        <x:v>P05-07</x:v>
      </x:c>
      <x:c r="B12" s="5" t="str">
        <x:v>AI Agents</x:v>
      </x:c>
      <x:c r="C12" s="5" t="str">
        <x:v>Feature card</x:v>
      </x:c>
      <x:c r="D12" s="5" t="str">
        <x:v>Make your process part of the work.</x:v>
      </x:c>
      <x:c r="E12" s="5" t="str">
        <x:v>A039</x:v>
      </x:c>
      <x:c r="F12" s="5" t="str">
        <x:v>An agent settings panel with its role, instructions and boundaries beside a matching draft response.</x:v>
      </x:c>
      <x:c r="G12" s="5" t="str">
        <x:v>Create</x:v>
      </x:c>
      <x:c r="H12" s="5" t="str">
        <x:f>'Production assets'!F44</x:f>
        <x:v>Not started</x:v>
      </x:c>
      <x:c r="I12" s="5" t="str">
        <x:v>1200 x 1000 WebP crop of shared master</x:v>
      </x:c>
      <x:c r="J12" s="5" t="str">
        <x:v>Generic workflow illustration</x:v>
      </x:c>
      <x:c r="K12" s="5" t="str">
        <x:v>CSS gradient + live UI</x:v>
      </x:c>
      <x:c r="L12" s="5" t="str">
        <x:v>320 x 267</x:v>
      </x:c>
      <x:c r="M12" s="5" t="str">
        <x:v>Pale mint, aqua, blue, navy</x:v>
      </x:c>
      <x:c r="N12" s="5" t="str">
        <x:v>Preserve the existing CSS gradient. Export foreground separately with transparent background. Keep key UI within the central 80%.</x:v>
      </x:c>
      <x:c r="O12" s="5" t="str">
        <x:v>http://localhost:3000/products/ai-agents</x:v>
      </x:c>
    </x:row>
    <x:row r="13" ht="51" customHeight="1">
      <x:c r="A13" s="10" t="str">
        <x:v>P05-08</x:v>
      </x:c>
      <x:c r="B13" s="10" t="str">
        <x:v>AI Agents</x:v>
      </x:c>
      <x:c r="C13" s="10" t="str">
        <x:v>Feature card</x:v>
      </x:c>
      <x:c r="D13" s="10" t="str">
        <x:v>Start with a useful example.</x:v>
      </x:c>
      <x:c r="E13" s="10" t="str">
        <x:v>A040</x:v>
      </x:c>
      <x:c r="F13" s="10" t="str">
        <x:v>A template picker with one reusable agent example expanded into editable steps.</x:v>
      </x:c>
      <x:c r="G13" s="10" t="str">
        <x:v>Create</x:v>
      </x:c>
      <x:c r="H13" s="10" t="str">
        <x:f>'Production assets'!F45</x:f>
        <x:v>Not started</x:v>
      </x:c>
      <x:c r="I13" s="10" t="str">
        <x:v>1200 x 1000 WebP crop of shared master</x:v>
      </x:c>
      <x:c r="J13" s="10" t="str">
        <x:v>Generic workflow illustration</x:v>
      </x:c>
      <x:c r="K13" s="10" t="str">
        <x:v>CSS gradient + live UI</x:v>
      </x:c>
      <x:c r="L13" s="10" t="str">
        <x:v>320 x 267</x:v>
      </x:c>
      <x:c r="M13" s="10" t="str">
        <x:v>Pale mint, aqua, blue, navy</x:v>
      </x:c>
      <x:c r="N13" s="10" t="str">
        <x:v>Preserve the existing CSS gradient. Export foreground separately with transparent background. Keep key UI within the central 80%.</x:v>
      </x:c>
      <x:c r="O13" s="10" t="str">
        <x:v>http://localhost:3000/products/ai-agents</x:v>
      </x:c>
    </x:row>
    <x:row r="14" ht="51" customHeight="1">
      <x:c r="A14" s="5" t="str">
        <x:v>P05-09</x:v>
      </x:c>
      <x:c r="B14" s="5" t="str">
        <x:v>AI Agents</x:v>
      </x:c>
      <x:c r="C14" s="5" t="str">
        <x:v>Feature card</x:v>
      </x:c>
      <x:c r="D14" s="5" t="str">
        <x:v>Make the next run better.</x:v>
      </x:c>
      <x:c r="E14" s="5" t="str">
        <x:v>A041</x:v>
      </x:c>
      <x:c r="F14" s="5" t="str">
        <x:v>A corrected result becoming a proposed instruction update before a comparison test.</x:v>
      </x:c>
      <x:c r="G14" s="5" t="str">
        <x:v>Create</x:v>
      </x:c>
      <x:c r="H14" s="5" t="str">
        <x:f>'Production assets'!F46</x:f>
        <x:v>Not started</x:v>
      </x:c>
      <x:c r="I14" s="5" t="str">
        <x:v>1200 x 1000 WebP crop of shared master</x:v>
      </x:c>
      <x:c r="J14" s="5" t="str">
        <x:v>Generic workflow illustration</x:v>
      </x:c>
      <x:c r="K14" s="5" t="str">
        <x:v>CSS gradient + live UI</x:v>
      </x:c>
      <x:c r="L14" s="5" t="str">
        <x:v>320 x 267</x:v>
      </x:c>
      <x:c r="M14" s="5" t="str">
        <x:v>Pale mint, aqua, blue, navy</x:v>
      </x:c>
      <x:c r="N14" s="5" t="str">
        <x:v>Preserve the existing CSS gradient. Export foreground separately with transparent background. Keep key UI within the central 80%.</x:v>
      </x:c>
      <x:c r="O14" s="5" t="str">
        <x:v>http://localhost:3000/products/ai-agents</x:v>
      </x:c>
    </x:row>
    <x:row r="15" ht="51" customHeight="1">
      <x:c r="A15" s="10" t="str">
        <x:v>P05-10</x:v>
      </x:c>
      <x:c r="B15" s="10" t="str">
        <x:v>AI Agents</x:v>
      </x:c>
      <x:c r="C15" s="10" t="str">
        <x:v>Feature card</x:v>
      </x:c>
      <x:c r="D15" s="10" t="str">
        <x:v>Keep people in the decisions.</x:v>
      </x:c>
      <x:c r="E15" s="10" t="str">
        <x:v>A042</x:v>
      </x:c>
      <x:c r="F15" s="10" t="str">
        <x:v>A person reviewing an agent proposal with context and an explicit approval control.</x:v>
      </x:c>
      <x:c r="G15" s="10" t="str">
        <x:v>Create</x:v>
      </x:c>
      <x:c r="H15" s="10" t="str">
        <x:f>'Production assets'!F47</x:f>
        <x:v>Not started</x:v>
      </x:c>
      <x:c r="I15" s="10" t="str">
        <x:v>1200 x 1000 WebP crop of shared master</x:v>
      </x:c>
      <x:c r="J15" s="10" t="str">
        <x:v>Generic workflow illustration</x:v>
      </x:c>
      <x:c r="K15" s="10" t="str">
        <x:v>CSS gradient + live UI</x:v>
      </x:c>
      <x:c r="L15" s="10" t="str">
        <x:v>320 x 267</x:v>
      </x:c>
      <x:c r="M15" s="10" t="str">
        <x:v>Pale mint, aqua, blue, navy</x:v>
      </x:c>
      <x:c r="N15" s="10" t="str">
        <x:v>Preserve the existing CSS gradient. Export foreground separately with transparent background. Keep key UI within the central 80%.</x:v>
      </x:c>
      <x:c r="O15" s="10" t="str">
        <x:v>http://localhost:3000/products/ai-agents</x:v>
      </x:c>
    </x:row>
    <x:row r="16" ht="38" customHeight="1">
      <x:c r="A16" s="5" t="str">
        <x:v>P05-11</x:v>
      </x:c>
      <x:c r="B16" s="5" t="str">
        <x:v>AI Agents</x:v>
      </x:c>
      <x:c r="C16" s="5" t="str">
        <x:v>Product overview</x:v>
      </x:c>
      <x:c r="D16" s="5" t="str">
        <x:v>The pieces that keep your work connected.</x:v>
      </x:c>
      <x:c r="E16" s="5" t="str">
        <x:v>A043</x:v>
      </x:c>
      <x:c r="F16" s="5" t="str">
        <x:v>Retain the existing interactive workspace. Optional static poster only if a still image is needed.</x:v>
      </x:c>
      <x:c r="G16" s="5" t="str">
        <x:v>Reuse</x:v>
      </x:c>
      <x:c r="H16" s="5" t="str">
        <x:f>'Production assets'!F48</x:f>
        <x:v>Existing</x:v>
      </x:c>
      <x:c r="I16" s="5" t="str">
        <x:v>Live component; optional 1920 px wide poster</x:v>
      </x:c>
      <x:c r="J16" s="5" t="str">
        <x:v>Interactive workspace</x:v>
      </x:c>
      <x:c r="K16" s="5" t="str">
        <x:v>CSS gradient + live UI</x:v>
      </x:c>
      <x:c r="L16" s="5" t="str">
        <x:v>960 x 652</x:v>
      </x:c>
      <x:c r="M16" s="5" t="str">
        <x:v>Pale mint, aqua, blue, navy</x:v>
      </x:c>
      <x:c r="N16" s="5" t="str">
        <x:v>Do not replace working controls with a flattened image.</x:v>
      </x:c>
      <x:c r="O16" s="5" t="str">
        <x:v>http://localhost:3000/products/ai-agents</x:v>
      </x:c>
    </x:row>
    <x:row r="17" ht="51" customHeight="1">
      <x:c r="A17" s="10" t="str">
        <x:v>P05-12</x:v>
      </x:c>
      <x:c r="B17" s="10" t="str">
        <x:v>AI Agents</x:v>
      </x:c>
      <x:c r="C17" s="10" t="str">
        <x:v>Feature detail</x:v>
      </x:c>
      <x:c r="D17" s="10" t="str">
        <x:v>Make room for a clearer answer.</x:v>
      </x:c>
      <x:c r="E17" s="10" t="str">
        <x:v>A035</x:v>
      </x:c>
      <x:c r="F17" s="10" t="str">
        <x:v>An incoming business question, linked evidence cards and a draft answer ready for review.</x:v>
      </x:c>
      <x:c r="G17" s="10" t="str">
        <x:v>Create</x:v>
      </x:c>
      <x:c r="H17" s="10" t="str">
        <x:f>'Production assets'!F40</x:f>
        <x:v>Not started</x:v>
      </x:c>
      <x:c r="I17" s="10" t="str">
        <x:v>Editable SVG/layers + 1200 x 1200 WebP</x:v>
      </x:c>
      <x:c r="J17" s="10" t="str">
        <x:v>Generic workflow illustration</x:v>
      </x:c>
      <x:c r="K17" s="10" t="str">
        <x:v>CSS gradient + live UI</x:v>
      </x:c>
      <x:c r="L17" s="10" t="str">
        <x:v>580 x 580</x:v>
      </x:c>
      <x:c r="M17" s="10" t="str">
        <x:v>Pale mint, aqua, blue, navy</x:v>
      </x:c>
      <x:c r="N17" s="10" t="str">
        <x:v>Preserve the existing CSS gradient. Export foreground separately with transparent background. Keep key UI within the central 80%.</x:v>
      </x:c>
      <x:c r="O17" s="10" t="str">
        <x:v>http://localhost:3000/products/ai-agents#problem-solver</x:v>
      </x:c>
    </x:row>
    <x:row r="18" ht="51" customHeight="1">
      <x:c r="A18" s="5" t="str">
        <x:v>P05-13</x:v>
      </x:c>
      <x:c r="B18" s="5" t="str">
        <x:v>AI Agents</x:v>
      </x:c>
      <x:c r="C18" s="5" t="str">
        <x:v>Feature detail</x:v>
      </x:c>
      <x:c r="D18" s="5" t="str">
        <x:v>Turn the request into a plan.</x:v>
      </x:c>
      <x:c r="E18" s="5" t="str">
        <x:v>A036</x:v>
      </x:c>
      <x:c r="F18" s="5" t="str">
        <x:v>A request turning into an ordered plan with dependencies and a human review step.</x:v>
      </x:c>
      <x:c r="G18" s="5" t="str">
        <x:v>Create</x:v>
      </x:c>
      <x:c r="H18" s="5" t="str">
        <x:f>'Production assets'!F41</x:f>
        <x:v>Not started</x:v>
      </x:c>
      <x:c r="I18" s="5" t="str">
        <x:v>Editable SVG/layers + 1200 x 1200 WebP</x:v>
      </x:c>
      <x:c r="J18" s="5" t="str">
        <x:v>Generic workflow illustration</x:v>
      </x:c>
      <x:c r="K18" s="5" t="str">
        <x:v>CSS gradient + live UI</x:v>
      </x:c>
      <x:c r="L18" s="5" t="str">
        <x:v>532 x 532</x:v>
      </x:c>
      <x:c r="M18" s="5" t="str">
        <x:v>Pale mint, aqua, blue, navy</x:v>
      </x:c>
      <x:c r="N18" s="5" t="str">
        <x:v>Preserve the existing CSS gradient. Export foreground separately with transparent background. Keep key UI within the central 80%.</x:v>
      </x:c>
      <x:c r="O18" s="5" t="str">
        <x:v>http://localhost:3000/products/ai-agents#intelligent-planning</x:v>
      </x:c>
    </x:row>
    <x:row r="19" ht="51" customHeight="1">
      <x:c r="A19" s="10" t="str">
        <x:v>P05-14</x:v>
      </x:c>
      <x:c r="B19" s="10" t="str">
        <x:v>AI Agents</x:v>
      </x:c>
      <x:c r="C19" s="10" t="str">
        <x:v>Feature detail</x:v>
      </x:c>
      <x:c r="D19" s="10" t="str">
        <x:v>Move the work forward.</x:v>
      </x:c>
      <x:c r="E19" s="10" t="str">
        <x:v>A038</x:v>
      </x:c>
      <x:c r="F19" s="10" t="str">
        <x:v>An agent task progressing through a tool action, status update and reviewed completion.</x:v>
      </x:c>
      <x:c r="G19" s="10" t="str">
        <x:v>Create</x:v>
      </x:c>
      <x:c r="H19" s="10" t="str">
        <x:f>'Production assets'!F43</x:f>
        <x:v>Not started</x:v>
      </x:c>
      <x:c r="I19" s="10" t="str">
        <x:v>Editable SVG/layers + 1200 x 1200 WebP</x:v>
      </x:c>
      <x:c r="J19" s="10" t="str">
        <x:v>Generic workflow illustration</x:v>
      </x:c>
      <x:c r="K19" s="10" t="str">
        <x:v>CSS gradient + live UI</x:v>
      </x:c>
      <x:c r="L19" s="10" t="str">
        <x:v>580 x 580</x:v>
      </x:c>
      <x:c r="M19" s="10" t="str">
        <x:v>Pale mint, aqua, blue, navy</x:v>
      </x:c>
      <x:c r="N19" s="10" t="str">
        <x:v>Preserve the existing CSS gradient. Export foreground separately with transparent background. Keep key UI within the central 80%.</x:v>
      </x:c>
      <x:c r="O19" s="10" t="str">
        <x:v>http://localhost:3000/products/ai-agents#agentic-execution</x:v>
      </x:c>
    </x:row>
    <x:row r="20" ht="51" customHeight="1">
      <x:c r="A20" s="5" t="str">
        <x:v>P05-15</x:v>
      </x:c>
      <x:c r="B20" s="5" t="str">
        <x:v>AI Agents</x:v>
      </x:c>
      <x:c r="C20" s="5" t="str">
        <x:v>Feature detail</x:v>
      </x:c>
      <x:c r="D20" s="5" t="str">
        <x:v>Keep your tools in the flow.</x:v>
      </x:c>
      <x:c r="E20" s="5" t="str">
        <x:v>A037</x:v>
      </x:c>
      <x:c r="F20" s="5" t="str">
        <x:v>An agent connecting to an inbox, shared files and a record system through scoped tool cards.</x:v>
      </x:c>
      <x:c r="G20" s="5" t="str">
        <x:v>Create</x:v>
      </x:c>
      <x:c r="H20" s="5" t="str">
        <x:f>'Production assets'!F42</x:f>
        <x:v>Not started</x:v>
      </x:c>
      <x:c r="I20" s="5" t="str">
        <x:v>Editable SVG/layers + 1200 x 1200 WebP</x:v>
      </x:c>
      <x:c r="J20" s="5" t="str">
        <x:v>Generic workflow illustration</x:v>
      </x:c>
      <x:c r="K20" s="5" t="str">
        <x:v>CSS gradient + live UI</x:v>
      </x:c>
      <x:c r="L20" s="5" t="str">
        <x:v>532 x 532</x:v>
      </x:c>
      <x:c r="M20" s="5" t="str">
        <x:v>Pale mint, aqua, blue, navy</x:v>
      </x:c>
      <x:c r="N20" s="5" t="str">
        <x:v>Preserve the existing CSS gradient. Export foreground separately with transparent background. Keep key UI within the central 80%.</x:v>
      </x:c>
      <x:c r="O20" s="5" t="str">
        <x:v>http://localhost:3000/products/ai-agents#integrations-tools</x:v>
      </x:c>
    </x:row>
    <x:row r="21" ht="51" customHeight="1">
      <x:c r="A21" s="10" t="str">
        <x:v>P05-16</x:v>
      </x:c>
      <x:c r="B21" s="10" t="str">
        <x:v>AI Agents</x:v>
      </x:c>
      <x:c r="C21" s="10" t="str">
        <x:v>Feature detail</x:v>
      </x:c>
      <x:c r="D21" s="10" t="str">
        <x:v>Make your process part of the work.</x:v>
      </x:c>
      <x:c r="E21" s="10" t="str">
        <x:v>A039</x:v>
      </x:c>
      <x:c r="F21" s="10" t="str">
        <x:v>An agent settings panel with its role, instructions and boundaries beside a matching draft response.</x:v>
      </x:c>
      <x:c r="G21" s="10" t="str">
        <x:v>Create</x:v>
      </x:c>
      <x:c r="H21" s="10" t="str">
        <x:f>'Production assets'!F44</x:f>
        <x:v>Not started</x:v>
      </x:c>
      <x:c r="I21" s="10" t="str">
        <x:v>Editable SVG/layers + 1200 x 1200 WebP</x:v>
      </x:c>
      <x:c r="J21" s="10" t="str">
        <x:v>Generic workflow illustration</x:v>
      </x:c>
      <x:c r="K21" s="10" t="str">
        <x:v>CSS gradient + live UI</x:v>
      </x:c>
      <x:c r="L21" s="10" t="str">
        <x:v>580 x 580</x:v>
      </x:c>
      <x:c r="M21" s="10" t="str">
        <x:v>Pale mint, aqua, blue, navy</x:v>
      </x:c>
      <x:c r="N21" s="10" t="str">
        <x:v>Preserve the existing CSS gradient. Export foreground separately with transparent background. Keep key UI within the central 80%.</x:v>
      </x:c>
      <x:c r="O21" s="10" t="str">
        <x:v>http://localhost:3000/products/ai-agents#agent-character</x:v>
      </x:c>
    </x:row>
    <x:row r="22" ht="51" customHeight="1">
      <x:c r="A22" s="5" t="str">
        <x:v>P05-17</x:v>
      </x:c>
      <x:c r="B22" s="5" t="str">
        <x:v>AI Agents</x:v>
      </x:c>
      <x:c r="C22" s="5" t="str">
        <x:v>Feature detail</x:v>
      </x:c>
      <x:c r="D22" s="5" t="str">
        <x:v>Start with a useful example.</x:v>
      </x:c>
      <x:c r="E22" s="5" t="str">
        <x:v>A040</x:v>
      </x:c>
      <x:c r="F22" s="5" t="str">
        <x:v>A template picker with one reusable agent example expanded into editable steps.</x:v>
      </x:c>
      <x:c r="G22" s="5" t="str">
        <x:v>Create</x:v>
      </x:c>
      <x:c r="H22" s="5" t="str">
        <x:f>'Production assets'!F45</x:f>
        <x:v>Not started</x:v>
      </x:c>
      <x:c r="I22" s="5" t="str">
        <x:v>Editable SVG/layers + 1200 x 1200 WebP</x:v>
      </x:c>
      <x:c r="J22" s="5" t="str">
        <x:v>Generic workflow illustration</x:v>
      </x:c>
      <x:c r="K22" s="5" t="str">
        <x:v>CSS gradient + live UI</x:v>
      </x:c>
      <x:c r="L22" s="5" t="str">
        <x:v>532 x 532</x:v>
      </x:c>
      <x:c r="M22" s="5" t="str">
        <x:v>Pale mint, aqua, blue, navy</x:v>
      </x:c>
      <x:c r="N22" s="5" t="str">
        <x:v>Preserve the existing CSS gradient. Export foreground separately with transparent background. Keep key UI within the central 80%.</x:v>
      </x:c>
      <x:c r="O22" s="5" t="str">
        <x:v>http://localhost:3000/products/ai-agents#templates</x:v>
      </x:c>
    </x:row>
    <x:row r="23" ht="51" customHeight="1">
      <x:c r="A23" s="10" t="str">
        <x:v>P05-18</x:v>
      </x:c>
      <x:c r="B23" s="10" t="str">
        <x:v>AI Agents</x:v>
      </x:c>
      <x:c r="C23" s="10" t="str">
        <x:v>Feature detail</x:v>
      </x:c>
      <x:c r="D23" s="10" t="str">
        <x:v>Make the next run better.</x:v>
      </x:c>
      <x:c r="E23" s="10" t="str">
        <x:v>A041</x:v>
      </x:c>
      <x:c r="F23" s="10" t="str">
        <x:v>A corrected result becoming a proposed instruction update before a comparison test.</x:v>
      </x:c>
      <x:c r="G23" s="10" t="str">
        <x:v>Create</x:v>
      </x:c>
      <x:c r="H23" s="10" t="str">
        <x:f>'Production assets'!F46</x:f>
        <x:v>Not started</x:v>
      </x:c>
      <x:c r="I23" s="10" t="str">
        <x:v>Editable SVG/layers + 1200 x 1200 WebP</x:v>
      </x:c>
      <x:c r="J23" s="10" t="str">
        <x:v>Generic workflow illustration</x:v>
      </x:c>
      <x:c r="K23" s="10" t="str">
        <x:v>CSS gradient + live UI</x:v>
      </x:c>
      <x:c r="L23" s="10" t="str">
        <x:v>580 x 580</x:v>
      </x:c>
      <x:c r="M23" s="10" t="str">
        <x:v>Pale mint, aqua, blue, navy</x:v>
      </x:c>
      <x:c r="N23" s="10" t="str">
        <x:v>Preserve the existing CSS gradient. Export foreground separately with transparent background. Keep key UI within the central 80%.</x:v>
      </x:c>
      <x:c r="O23" s="10" t="str">
        <x:v>http://localhost:3000/products/ai-agents#learning-agent</x:v>
      </x:c>
    </x:row>
    <x:row r="24" ht="51" customHeight="1">
      <x:c r="A24" s="5" t="str">
        <x:v>P05-19</x:v>
      </x:c>
      <x:c r="B24" s="5" t="str">
        <x:v>AI Agents</x:v>
      </x:c>
      <x:c r="C24" s="5" t="str">
        <x:v>Feature detail</x:v>
      </x:c>
      <x:c r="D24" s="5" t="str">
        <x:v>Keep people in the decisions.</x:v>
      </x:c>
      <x:c r="E24" s="5" t="str">
        <x:v>A042</x:v>
      </x:c>
      <x:c r="F24" s="5" t="str">
        <x:v>A person reviewing an agent proposal with context and an explicit approval control.</x:v>
      </x:c>
      <x:c r="G24" s="5" t="str">
        <x:v>Create</x:v>
      </x:c>
      <x:c r="H24" s="5" t="str">
        <x:f>'Production assets'!F47</x:f>
        <x:v>Not started</x:v>
      </x:c>
      <x:c r="I24" s="5" t="str">
        <x:v>Editable SVG/layers + 1200 x 1200 WebP</x:v>
      </x:c>
      <x:c r="J24" s="5" t="str">
        <x:v>Generic workflow illustration</x:v>
      </x:c>
      <x:c r="K24" s="5" t="str">
        <x:v>CSS gradient + live UI</x:v>
      </x:c>
      <x:c r="L24" s="5" t="str">
        <x:v>532 x 532</x:v>
      </x:c>
      <x:c r="M24" s="5" t="str">
        <x:v>Pale mint, aqua, blue, navy</x:v>
      </x:c>
      <x:c r="N24" s="5" t="str">
        <x:v>Preserve the existing CSS gradient. Export foreground separately with transparent background. Keep key UI within the central 80%.</x:v>
      </x:c>
      <x:c r="O24" s="5" t="str">
        <x:v>http://localhost:3000/products/ai-agents#human-in-the-loop</x:v>
      </x:c>
    </x:row>
    <x:row r="25" ht="38" customHeight="1">
      <x:c r="A25" s="10" t="str">
        <x:v>P05-20</x:v>
      </x:c>
      <x:c r="B25" s="10" t="str">
        <x:v>AI Agents</x:v>
      </x:c>
      <x:c r="C25" s="10" t="str">
        <x:v>Related product thumbnail</x:v>
      </x:c>
      <x:c r="D25" s="10" t="str">
        <x:v>Platform</x:v>
      </x:c>
      <x:c r="E25" s="10" t="str">
        <x:v>A015</x:v>
      </x:c>
      <x:c r="F25" s="10" t="str">
        <x:v>A compact workspace overview linking agents, tools and shared knowledge.</x:v>
      </x:c>
      <x:c r="G25" s="10" t="str">
        <x:v>Create</x:v>
      </x:c>
      <x:c r="H25" s="10" t="str">
        <x:f>'Production assets'!F20</x:f>
        <x:v>Not started</x:v>
      </x:c>
      <x:c r="I25" s="10" t="str">
        <x:v>Editable SVG + 1200 x 1000 WebP</x:v>
      </x:c>
      <x:c r="J25" s="10" t="str">
        <x:v>Generic star on gradient</x:v>
      </x:c>
      <x:c r="K25" s="10" t="str">
        <x:v>/brand/calendly/assistant-hero.svg + star glyph</x:v>
      </x:c>
      <x:c r="L25" s="10" t="str">
        <x:v>227 x 189</x:v>
      </x:c>
      <x:c r="M25" s="10" t="str">
        <x:v>Ice blue, white, teal, deep green</x:v>
      </x:c>
      <x:c r="N25" s="10" t="str">
        <x:v>Create once and reuse across related-product cards and the Platform card rail. Keep the gradient separate.</x:v>
      </x:c>
      <x:c r="O25" s="10" t="str">
        <x:v>http://localhost:3000/products/ai-agents</x:v>
      </x:c>
    </x:row>
    <x:row r="26" ht="38" customHeight="1">
      <x:c r="A26" s="5" t="str">
        <x:v>P05-21</x:v>
      </x:c>
      <x:c r="B26" s="5" t="str">
        <x:v>AI Agents</x:v>
      </x:c>
      <x:c r="C26" s="5" t="str">
        <x:v>Related product thumbnail</x:v>
      </x:c>
      <x:c r="D26" s="5" t="str">
        <x:v>Integrations</x:v>
      </x:c>
      <x:c r="E26" s="5" t="str">
        <x:v>A006</x:v>
      </x:c>
      <x:c r="F26" s="5" t="str">
        <x:v>A central Innflow node connected to a small set of tool tiles.</x:v>
      </x:c>
      <x:c r="G26" s="5" t="str">
        <x:v>Create</x:v>
      </x:c>
      <x:c r="H26" s="5" t="str">
        <x:f>'Production assets'!F11</x:f>
        <x:v>Not started</x:v>
      </x:c>
      <x:c r="I26" s="5" t="str">
        <x:v>Editable SVG + 1200 x 1000 WebP</x:v>
      </x:c>
      <x:c r="J26" s="5" t="str">
        <x:v>Generic star on gradient</x:v>
      </x:c>
      <x:c r="K26" s="5" t="str">
        <x:v>/brand/calendly/scheduling-hero.svg + star glyph</x:v>
      </x:c>
      <x:c r="L26" s="5" t="str">
        <x:v>227 x 189</x:v>
      </x:c>
      <x:c r="M26" s="5" t="str">
        <x:v>Sky blue, pale aqua, navy</x:v>
      </x:c>
      <x:c r="N26" s="5" t="str">
        <x:v>Create once and reuse across related-product cards and the Platform card rail. Keep the gradient separate.</x:v>
      </x:c>
      <x:c r="O26" s="5" t="str">
        <x:v>http://localhost:3000/products/ai-agents</x:v>
      </x:c>
    </x:row>
    <x:row r="27" ht="38" customHeight="1">
      <x:c r="A27" s="10" t="str">
        <x:v>P05-22</x:v>
      </x:c>
      <x:c r="B27" s="10" t="str">
        <x:v>AI Agents</x:v>
      </x:c>
      <x:c r="C27" s="10" t="str">
        <x:v>Related product thumbnail</x:v>
      </x:c>
      <x:c r="D27" s="10" t="str">
        <x:v>Agentic Workflows</x:v>
      </x:c>
      <x:c r="E27" s="10" t="str">
        <x:v>A010</x:v>
      </x:c>
      <x:c r="F27" s="10" t="str">
        <x:v>A compact workflow canvas with trigger, branch and action nodes.</x:v>
      </x:c>
      <x:c r="G27" s="10" t="str">
        <x:v>Create</x:v>
      </x:c>
      <x:c r="H27" s="10" t="str">
        <x:f>'Production assets'!F15</x:f>
        <x:v>Not started</x:v>
      </x:c>
      <x:c r="I27" s="10" t="str">
        <x:v>Editable SVG + 1200 x 1000 WebP</x:v>
      </x:c>
      <x:c r="J27" s="10" t="str">
        <x:v>Generic star on gradient</x:v>
      </x:c>
      <x:c r="K27" s="10" t="str">
        <x:v>/brand/calendly/notetaker-hero.svg + star glyph</x:v>
      </x:c>
      <x:c r="L27" s="10" t="str">
        <x:v>227 x 189</x:v>
      </x:c>
      <x:c r="M27" s="10" t="str">
        <x:v>Navy, blue, blush, lavender</x:v>
      </x:c>
      <x:c r="N27" s="10" t="str">
        <x:v>Create once and reuse across related-product cards and the Platform card rail. Keep the gradient separate.</x:v>
      </x:c>
      <x:c r="O27" s="10" t="str">
        <x:v>http://localhost:3000/products/ai-agents</x:v>
      </x:c>
    </x:row>
    <x:row r="28" ht="38" customHeight="1">
      <x:c r="A28" s="5" t="str">
        <x:v>P05-23</x:v>
      </x:c>
      <x:c r="B28" s="5" t="str">
        <x:v>AI Agents</x:v>
      </x:c>
      <x:c r="C28" s="5" t="str">
        <x:v>Related product thumbnail</x:v>
      </x:c>
      <x:c r="D28" s="5" t="str">
        <x:v>Agent OS</x:v>
      </x:c>
      <x:c r="E28" s="5" t="str">
        <x:v>A011</x:v>
      </x:c>
      <x:c r="F28" s="5" t="str">
        <x:v>A small orchestration graph connecting agents and shared memory.</x:v>
      </x:c>
      <x:c r="G28" s="5" t="str">
        <x:v>Create</x:v>
      </x:c>
      <x:c r="H28" s="5" t="str">
        <x:f>'Production assets'!F16</x:f>
        <x:v>Not started</x:v>
      </x:c>
      <x:c r="I28" s="5" t="str">
        <x:v>Editable SVG + 1200 x 1000 WebP</x:v>
      </x:c>
      <x:c r="J28" s="5" t="str">
        <x:v>Generic star on gradient</x:v>
      </x:c>
      <x:c r="K28" s="5" t="str">
        <x:v>/brand/calendly/contacts-hero.svg + star glyph</x:v>
      </x:c>
      <x:c r="L28" s="5" t="str">
        <x:v>227 x 189</x:v>
      </x:c>
      <x:c r="M28" s="5" t="str">
        <x:v>Cream, peach, pink, blue</x:v>
      </x:c>
      <x:c r="N28" s="5" t="str">
        <x:v>Create once and reuse across related-product cards and the Platform card rail. Keep the gradient separate.</x:v>
      </x:c>
      <x:c r="O28" s="5" t="str">
        <x:v>http://localhost:3000/products/ai-agents</x:v>
      </x:c>
    </x:row>
    <x:row r="29" ht="38" customHeight="1">
      <x:c r="A29" s="10" t="str">
        <x:v>P05-24</x:v>
      </x:c>
      <x:c r="B29" s="10" t="str">
        <x:v>AI Agents</x:v>
      </x:c>
      <x:c r="C29" s="10" t="str">
        <x:v>Related product thumbnail</x:v>
      </x:c>
      <x:c r="D29" s="10" t="str">
        <x:v>Agent Studio</x:v>
      </x:c>
      <x:c r="E29" s="10" t="str">
        <x:v>A013</x:v>
      </x:c>
      <x:c r="F29" s="10" t="str">
        <x:v>A miniature visual editor with configurable workflow nodes.</x:v>
      </x:c>
      <x:c r="G29" s="10" t="str">
        <x:v>Create</x:v>
      </x:c>
      <x:c r="H29" s="10" t="str">
        <x:f>'Production assets'!F18</x:f>
        <x:v>Not started</x:v>
      </x:c>
      <x:c r="I29" s="10" t="str">
        <x:v>Editable SVG + 1200 x 1000 WebP</x:v>
      </x:c>
      <x:c r="J29" s="10" t="str">
        <x:v>Generic star on gradient</x:v>
      </x:c>
      <x:c r="K29" s="10" t="str">
        <x:v>/brand/calendly/assistant-hero.svg + star glyph</x:v>
      </x:c>
      <x:c r="L29" s="10" t="str">
        <x:v>227 x 189</x:v>
      </x:c>
      <x:c r="M29" s="10" t="str">
        <x:v>Ice blue, white, teal, deep green</x:v>
      </x:c>
      <x:c r="N29" s="10" t="str">
        <x:v>Create once and reuse across related-product cards and the Platform card rail. Keep the gradient separate.</x:v>
      </x:c>
      <x:c r="O29" s="10" t="str">
        <x:v>http://localhost:3000/products/ai-agents</x:v>
      </x:c>
    </x:row>
  </x:sheetData>
  <x:pageMargins left="0.7" right="0.7" top="0.75" bottom="0.75" header="0.3" footer="0.3"/>
  <x:tableParts count="1">
    <x:tablePart xmlns:r="http://schemas.openxmlformats.org/officeDocument/2006/relationships" r:id="R1598c1d9f6d24627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4" hidden="0" customWidth="1"/>
    <x:col min="2" max="2" width="25" hidden="0" customWidth="1"/>
    <x:col min="3" max="3" width="24" hidden="0" customWidth="1"/>
    <x:col min="4" max="4" width="40" hidden="0" customWidth="1"/>
    <x:col min="5" max="5" width="12" hidden="0" customWidth="1"/>
    <x:col min="6" max="6" width="76" hidden="0" customWidth="1"/>
    <x:col min="7" max="7" width="14" hidden="0" customWidth="1"/>
    <x:col min="8" max="8" width="17" hidden="0" customWidth="1"/>
    <x:col min="9" max="9" width="40" hidden="0" customWidth="1"/>
    <x:col min="10" max="10" width="28" hidden="0" customWidth="1"/>
    <x:col min="11" max="11" width="65" hidden="0" customWidth="1"/>
    <x:col min="12" max="12" width="18" hidden="0" customWidth="1"/>
    <x:col min="13" max="13" width="30" hidden="0" customWidth="1"/>
    <x:col min="14" max="14" width="65" hidden="0" customWidth="1"/>
    <x:col min="15" max="15" width="6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>
      <x:c r="A2" s="2" t="str">
        <x:v>Agent Studio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>
      <x:c r="A3" s="3" t="str">
        <x:v>/products/agent-studio | Assistant reference. Status links to Production assets.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30" customHeight="1">
      <x:c r="A5" s="9" t="str">
        <x:v>Placement ID</x:v>
      </x:c>
      <x:c r="B5" s="9" t="str">
        <x:v>Page</x:v>
      </x:c>
      <x:c r="C5" s="9" t="str">
        <x:v>Section</x:v>
      </x:c>
      <x:c r="D5" s="9" t="str">
        <x:v>Section title</x:v>
      </x:c>
      <x:c r="E5" s="9" t="str">
        <x:v>Asset ID</x:v>
      </x:c>
      <x:c r="F5" s="9" t="str">
        <x:v>Recommended artwork</x:v>
      </x:c>
      <x:c r="G5" s="9" t="str">
        <x:v>Action</x:v>
      </x:c>
      <x:c r="H5" s="9" t="str">
        <x:v>Status</x:v>
      </x:c>
      <x:c r="I5" s="9" t="str">
        <x:v>Recommended deliverable</x:v>
      </x:c>
      <x:c r="J5" s="9" t="str">
        <x:v>Current artwork</x:v>
      </x:c>
      <x:c r="K5" s="9" t="str">
        <x:v>Current sources</x:v>
      </x:c>
      <x:c r="L5" s="9" t="str">
        <x:v>Desktop size (px)</x:v>
      </x:c>
      <x:c r="M5" s="9" t="str">
        <x:v>Gradient palette</x:v>
      </x:c>
      <x:c r="N5" s="9" t="str">
        <x:v>Reuse and crop notes</x:v>
      </x:c>
      <x:c r="O5" s="9" t="str">
        <x:v>Page reference</x:v>
      </x:c>
    </x:row>
    <x:row r="6" ht="38" customHeight="1">
      <x:c r="A6" s="5" t="str">
        <x:v>P06-01</x:v>
      </x:c>
      <x:c r="B6" s="5" t="str">
        <x:v>Agent Studio</x:v>
      </x:c>
      <x:c r="C6" s="5" t="str">
        <x:v>Hero background</x:v>
      </x:c>
      <x:c r="D6" s="5" t="str">
        <x:v>Build the way your team works.</x:v>
      </x:c>
      <x:c r="E6" s="5" t="str">
        <x:v>A001</x:v>
      </x:c>
      <x:c r="F6" s="5" t="str">
        <x:v>Reuse the existing Paper SVG as a separate background layer. No new background required.</x:v>
      </x:c>
      <x:c r="G6" s="5" t="str">
        <x:v>Reuse</x:v>
      </x:c>
      <x:c r="H6" s="5" t="str">
        <x:f>'Production assets'!F6</x:f>
        <x:v>Existing</x:v>
      </x:c>
      <x:c r="I6" s="5" t="str">
        <x:v>Existing scalable SVG</x:v>
      </x:c>
      <x:c r="J6" s="5" t="str">
        <x:v>Existing background</x:v>
      </x:c>
      <x:c r="K6" s="5" t="str">
        <x:v>/brand/calendly/assistant-hero.svg</x:v>
      </x:c>
      <x:c r="L6" s="5" t="str">
        <x:v>1387 x 776</x:v>
      </x:c>
      <x:c r="M6" s="5" t="str">
        <x:v>Ice blue, white, teal, deep green</x:v>
      </x:c>
      <x:c r="N6" s="5" t="str">
        <x:v>Shared by every page using this style.</x:v>
      </x:c>
      <x:c r="O6" s="5" t="str">
        <x:v>http://localhost:3000/products/agent-studio</x:v>
      </x:c>
    </x:row>
    <x:row r="7" ht="51" customHeight="1">
      <x:c r="A7" s="10" t="str">
        <x:v>P06-02</x:v>
      </x:c>
      <x:c r="B7" s="10" t="str">
        <x:v>Agent Studio</x:v>
      </x:c>
      <x:c r="C7" s="10" t="str">
        <x:v>Capability overview</x:v>
      </x:c>
      <x:c r="D7" s="10" t="str">
        <x:v>Three ways to create</x:v>
      </x:c>
      <x:c r="E7" s="10" t="str">
        <x:v>A044</x:v>
      </x:c>
      <x:c r="F7" s="10" t="str">
        <x:v>Three creation entry cards: choose a template, describe a workflow, or start with a blank canvas.</x:v>
      </x:c>
      <x:c r="G7" s="10" t="str">
        <x:v>Create</x:v>
      </x:c>
      <x:c r="H7" s="10" t="str">
        <x:f>'Production assets'!F49</x:f>
        <x:v>Not started</x:v>
      </x:c>
      <x:c r="I7" s="10" t="str">
        <x:v>Editable SVG/layers + 1200 x 1200 WebP</x:v>
      </x:c>
      <x:c r="J7" s="10" t="str">
        <x:v>Generic workflow illustration</x:v>
      </x:c>
      <x:c r="K7" s="10" t="str">
        <x:v>CSS gradient + live UI</x:v>
      </x:c>
      <x:c r="L7" s="10" t="str">
        <x:v>580 x 580</x:v>
      </x:c>
      <x:c r="M7" s="10" t="str">
        <x:v>Ice blue, white, teal, deep green</x:v>
      </x:c>
      <x:c r="N7" s="10" t="str">
        <x:v>Preserve the existing CSS gradient. Export foreground separately with transparent background. Keep key UI within the central 80%. Reuses the first feature detail artwork.</x:v>
      </x:c>
      <x:c r="O7" s="10" t="str">
        <x:v>http://localhost:3000/products/agent-studio#creation-paths</x:v>
      </x:c>
    </x:row>
    <x:row r="8" ht="51" customHeight="1">
      <x:c r="A8" s="5" t="str">
        <x:v>P06-03</x:v>
      </x:c>
      <x:c r="B8" s="5" t="str">
        <x:v>Agent Studio</x:v>
      </x:c>
      <x:c r="C8" s="5" t="str">
        <x:v>Feature card</x:v>
      </x:c>
      <x:c r="D8" s="5" t="str">
        <x:v>Three paths to your first workflow</x:v>
      </x:c>
      <x:c r="E8" s="5" t="str">
        <x:v>A044</x:v>
      </x:c>
      <x:c r="F8" s="5" t="str">
        <x:v>Three creation entry cards: choose a template, describe a workflow, or start with a blank canvas.</x:v>
      </x:c>
      <x:c r="G8" s="5" t="str">
        <x:v>Create</x:v>
      </x:c>
      <x:c r="H8" s="5" t="str">
        <x:f>'Production assets'!F49</x:f>
        <x:v>Not started</x:v>
      </x:c>
      <x:c r="I8" s="5" t="str">
        <x:v>1200 x 1000 WebP crop of shared master</x:v>
      </x:c>
      <x:c r="J8" s="5" t="str">
        <x:v>Generic workflow illustration</x:v>
      </x:c>
      <x:c r="K8" s="5" t="str">
        <x:v>CSS gradient + live UI</x:v>
      </x:c>
      <x:c r="L8" s="5" t="str">
        <x:v>320 x 267</x:v>
      </x:c>
      <x:c r="M8" s="5" t="str">
        <x:v>Ice blue, white, teal, deep green</x:v>
      </x:c>
      <x:c r="N8" s="5" t="str">
        <x:v>Preserve the existing CSS gradient. Export foreground separately with transparent background. Keep key UI within the central 80%.</x:v>
      </x:c>
      <x:c r="O8" s="5" t="str">
        <x:v>http://localhost:3000/products/agent-studio#creation-paths</x:v>
      </x:c>
    </x:row>
    <x:row r="9" ht="51" customHeight="1">
      <x:c r="A9" s="10" t="str">
        <x:v>P06-04</x:v>
      </x:c>
      <x:c r="B9" s="10" t="str">
        <x:v>Agent Studio</x:v>
      </x:c>
      <x:c r="C9" s="10" t="str">
        <x:v>Feature card</x:v>
      </x:c>
      <x:c r="D9" s="10" t="str">
        <x:v>Your tools, connected</x:v>
      </x:c>
      <x:c r="E9" s="10" t="str">
        <x:v>A045</x:v>
      </x:c>
      <x:c r="F9" s="10" t="str">
        <x:v>A connectors drawer showing connected tools, their permission scopes and a selected action.</x:v>
      </x:c>
      <x:c r="G9" s="10" t="str">
        <x:v>Create</x:v>
      </x:c>
      <x:c r="H9" s="10" t="str">
        <x:f>'Production assets'!F50</x:f>
        <x:v>Not started</x:v>
      </x:c>
      <x:c r="I9" s="10" t="str">
        <x:v>1200 x 1000 WebP crop of shared master</x:v>
      </x:c>
      <x:c r="J9" s="10" t="str">
        <x:v>Generic workflow illustration</x:v>
      </x:c>
      <x:c r="K9" s="10" t="str">
        <x:v>CSS gradient + live UI</x:v>
      </x:c>
      <x:c r="L9" s="10" t="str">
        <x:v>320 x 267</x:v>
      </x:c>
      <x:c r="M9" s="10" t="str">
        <x:v>Ice blue, white, teal, deep green</x:v>
      </x:c>
      <x:c r="N9" s="10" t="str">
        <x:v>Preserve the existing CSS gradient. Export foreground separately with transparent background. Keep key UI within the central 80%.</x:v>
      </x:c>
      <x:c r="O9" s="10" t="str">
        <x:v>http://localhost:3000/products/agent-studio#connectors</x:v>
      </x:c>
    </x:row>
    <x:row r="10" ht="51" customHeight="1">
      <x:c r="A10" s="5" t="str">
        <x:v>P06-05</x:v>
      </x:c>
      <x:c r="B10" s="5" t="str">
        <x:v>Agent Studio</x:v>
      </x:c>
      <x:c r="C10" s="5" t="str">
        <x:v>Feature card</x:v>
      </x:c>
      <x:c r="D10" s="5" t="str">
        <x:v>Build workflows visually</x:v>
      </x:c>
      <x:c r="E10" s="5" t="str">
        <x:v>A046</x:v>
      </x:c>
      <x:c r="F10" s="5" t="str">
        <x:v>A visual editor with connected steps and an open configuration drawer for one selected node.</x:v>
      </x:c>
      <x:c r="G10" s="5" t="str">
        <x:v>Create</x:v>
      </x:c>
      <x:c r="H10" s="5" t="str">
        <x:f>'Production assets'!F51</x:f>
        <x:v>Not started</x:v>
      </x:c>
      <x:c r="I10" s="5" t="str">
        <x:v>1200 x 1000 WebP crop of shared master</x:v>
      </x:c>
      <x:c r="J10" s="5" t="str">
        <x:v>Generic workflow illustration</x:v>
      </x:c>
      <x:c r="K10" s="5" t="str">
        <x:v>CSS gradient + live UI</x:v>
      </x:c>
      <x:c r="L10" s="5" t="str">
        <x:v>320 x 267</x:v>
      </x:c>
      <x:c r="M10" s="5" t="str">
        <x:v>Ice blue, white, teal, deep green</x:v>
      </x:c>
      <x:c r="N10" s="5" t="str">
        <x:v>Preserve the existing CSS gradient. Export foreground separately with transparent background. Keep key UI within the central 80%.</x:v>
      </x:c>
      <x:c r="O10" s="5" t="str">
        <x:v>http://localhost:3000/products/agent-studio#visual-builder</x:v>
      </x:c>
    </x:row>
    <x:row r="11" ht="51" customHeight="1">
      <x:c r="A11" s="10" t="str">
        <x:v>P06-06</x:v>
      </x:c>
      <x:c r="B11" s="10" t="str">
        <x:v>Agent Studio</x:v>
      </x:c>
      <x:c r="C11" s="10" t="str">
        <x:v>Feature card</x:v>
      </x:c>
      <x:c r="D11" s="10" t="str">
        <x:v>Start from reusable skills</x:v>
      </x:c>
      <x:c r="E11" s="10" t="str">
        <x:v>A047</x:v>
      </x:c>
      <x:c r="F11" s="10" t="str">
        <x:v>A skill library card expanding into a preconfigured, editable operation.</x:v>
      </x:c>
      <x:c r="G11" s="10" t="str">
        <x:v>Create</x:v>
      </x:c>
      <x:c r="H11" s="10" t="str">
        <x:f>'Production assets'!F52</x:f>
        <x:v>Not started</x:v>
      </x:c>
      <x:c r="I11" s="10" t="str">
        <x:v>1200 x 1000 WebP crop of shared master</x:v>
      </x:c>
      <x:c r="J11" s="10" t="str">
        <x:v>Generic workflow illustration</x:v>
      </x:c>
      <x:c r="K11" s="10" t="str">
        <x:v>CSS gradient + live UI</x:v>
      </x:c>
      <x:c r="L11" s="10" t="str">
        <x:v>320 x 267</x:v>
      </x:c>
      <x:c r="M11" s="10" t="str">
        <x:v>Ice blue, white, teal, deep green</x:v>
      </x:c>
      <x:c r="N11" s="10" t="str">
        <x:v>Preserve the existing CSS gradient. Export foreground separately with transparent background. Keep key UI within the central 80%.</x:v>
      </x:c>
      <x:c r="O11" s="10" t="str">
        <x:v>http://localhost:3000/products/agent-studio#templates</x:v>
      </x:c>
    </x:row>
    <x:row r="12" ht="51" customHeight="1">
      <x:c r="A12" s="5" t="str">
        <x:v>P06-07</x:v>
      </x:c>
      <x:c r="B12" s="5" t="str">
        <x:v>Agent Studio</x:v>
      </x:c>
      <x:c r="C12" s="5" t="str">
        <x:v>Feature card</x:v>
      </x:c>
      <x:c r="D12" s="5" t="str">
        <x:v>Test before you go live</x:v>
      </x:c>
      <x:c r="E12" s="5" t="str">
        <x:v>A048</x:v>
      </x:c>
      <x:c r="F12" s="5" t="str">
        <x:v>A workflow test console with sample input, expected output and a reviewable test result.</x:v>
      </x:c>
      <x:c r="G12" s="5" t="str">
        <x:v>Create</x:v>
      </x:c>
      <x:c r="H12" s="5" t="str">
        <x:f>'Production assets'!F53</x:f>
        <x:v>Not started</x:v>
      </x:c>
      <x:c r="I12" s="5" t="str">
        <x:v>1200 x 1000 WebP crop of shared master</x:v>
      </x:c>
      <x:c r="J12" s="5" t="str">
        <x:v>Generic workflow illustration</x:v>
      </x:c>
      <x:c r="K12" s="5" t="str">
        <x:v>CSS gradient + live UI</x:v>
      </x:c>
      <x:c r="L12" s="5" t="str">
        <x:v>320 x 267</x:v>
      </x:c>
      <x:c r="M12" s="5" t="str">
        <x:v>Ice blue, white, teal, deep green</x:v>
      </x:c>
      <x:c r="N12" s="5" t="str">
        <x:v>Preserve the existing CSS gradient. Export foreground separately with transparent background. Keep key UI within the central 80%.</x:v>
      </x:c>
      <x:c r="O12" s="5" t="str">
        <x:v>http://localhost:3000/products/agent-studio#testing</x:v>
      </x:c>
    </x:row>
    <x:row r="13" ht="51" customHeight="1">
      <x:c r="A13" s="10" t="str">
        <x:v>P06-08</x:v>
      </x:c>
      <x:c r="B13" s="10" t="str">
        <x:v>Agent Studio</x:v>
      </x:c>
      <x:c r="C13" s="10" t="str">
        <x:v>Feature card</x:v>
      </x:c>
      <x:c r="D13" s="10" t="str">
        <x:v>Find the step that needs attention</x:v>
      </x:c>
      <x:c r="E13" s="10" t="str">
        <x:v>A049</x:v>
      </x:c>
      <x:c r="F13" s="10" t="str">
        <x:v>A step-by-step trace with one flagged step and its input and output panels expanded.</x:v>
      </x:c>
      <x:c r="G13" s="10" t="str">
        <x:v>Create</x:v>
      </x:c>
      <x:c r="H13" s="10" t="str">
        <x:f>'Production assets'!F54</x:f>
        <x:v>Not started</x:v>
      </x:c>
      <x:c r="I13" s="10" t="str">
        <x:v>1200 x 1000 WebP crop of shared master</x:v>
      </x:c>
      <x:c r="J13" s="10" t="str">
        <x:v>Generic workflow illustration</x:v>
      </x:c>
      <x:c r="K13" s="10" t="str">
        <x:v>CSS gradient + live UI</x:v>
      </x:c>
      <x:c r="L13" s="10" t="str">
        <x:v>320 x 267</x:v>
      </x:c>
      <x:c r="M13" s="10" t="str">
        <x:v>Ice blue, white, teal, deep green</x:v>
      </x:c>
      <x:c r="N13" s="10" t="str">
        <x:v>Preserve the existing CSS gradient. Export foreground separately with transparent background. Keep key UI within the central 80%.</x:v>
      </x:c>
      <x:c r="O13" s="10" t="str">
        <x:v>http://localhost:3000/products/agent-studio#debugging</x:v>
      </x:c>
    </x:row>
    <x:row r="14" ht="51" customHeight="1">
      <x:c r="A14" s="5" t="str">
        <x:v>P06-09</x:v>
      </x:c>
      <x:c r="B14" s="5" t="str">
        <x:v>Agent Studio</x:v>
      </x:c>
      <x:c r="C14" s="5" t="str">
        <x:v>Feature card</x:v>
      </x:c>
      <x:c r="D14" s="5" t="str">
        <x:v>Improve with reviewed feedback</x:v>
      </x:c>
      <x:c r="E14" s="5" t="str">
        <x:v>A050</x:v>
      </x:c>
      <x:c r="F14" s="5" t="str">
        <x:v>A feedback annotation beside a proposed revision and a comparison test.</x:v>
      </x:c>
      <x:c r="G14" s="5" t="str">
        <x:v>Create</x:v>
      </x:c>
      <x:c r="H14" s="5" t="str">
        <x:f>'Production assets'!F55</x:f>
        <x:v>Not started</x:v>
      </x:c>
      <x:c r="I14" s="5" t="str">
        <x:v>1200 x 1000 WebP crop of shared master</x:v>
      </x:c>
      <x:c r="J14" s="5" t="str">
        <x:v>Generic workflow illustration</x:v>
      </x:c>
      <x:c r="K14" s="5" t="str">
        <x:v>CSS gradient + live UI</x:v>
      </x:c>
      <x:c r="L14" s="5" t="str">
        <x:v>320 x 267</x:v>
      </x:c>
      <x:c r="M14" s="5" t="str">
        <x:v>Ice blue, white, teal, deep green</x:v>
      </x:c>
      <x:c r="N14" s="5" t="str">
        <x:v>Preserve the existing CSS gradient. Export foreground separately with transparent background. Keep key UI within the central 80%.</x:v>
      </x:c>
      <x:c r="O14" s="5" t="str">
        <x:v>http://localhost:3000/products/agent-studio#learning</x:v>
      </x:c>
    </x:row>
    <x:row r="15" ht="51" customHeight="1">
      <x:c r="A15" s="10" t="str">
        <x:v>P06-10</x:v>
      </x:c>
      <x:c r="B15" s="10" t="str">
        <x:v>Agent Studio</x:v>
      </x:c>
      <x:c r="C15" s="10" t="str">
        <x:v>Feature card</x:v>
      </x:c>
      <x:c r="D15" s="10" t="str">
        <x:v>Publish with confidence</x:v>
      </x:c>
      <x:c r="E15" s="10" t="str">
        <x:v>A051</x:v>
      </x:c>
      <x:c r="F15" s="10" t="str">
        <x:v>A tested workflow moving through a release checklist into a published version, with a rollback option.</x:v>
      </x:c>
      <x:c r="G15" s="10" t="str">
        <x:v>Create</x:v>
      </x:c>
      <x:c r="H15" s="10" t="str">
        <x:f>'Production assets'!F56</x:f>
        <x:v>Not started</x:v>
      </x:c>
      <x:c r="I15" s="10" t="str">
        <x:v>1200 x 1000 WebP crop of shared master</x:v>
      </x:c>
      <x:c r="J15" s="10" t="str">
        <x:v>Generic workflow illustration</x:v>
      </x:c>
      <x:c r="K15" s="10" t="str">
        <x:v>CSS gradient + live UI</x:v>
      </x:c>
      <x:c r="L15" s="10" t="str">
        <x:v>320 x 267</x:v>
      </x:c>
      <x:c r="M15" s="10" t="str">
        <x:v>Ice blue, white, teal, deep green</x:v>
      </x:c>
      <x:c r="N15" s="10" t="str">
        <x:v>Preserve the existing CSS gradient. Export foreground separately with transparent background. Keep key UI within the central 80%.</x:v>
      </x:c>
      <x:c r="O15" s="10" t="str">
        <x:v>http://localhost:3000/products/agent-studio#publish</x:v>
      </x:c>
    </x:row>
    <x:row r="16" ht="38" customHeight="1">
      <x:c r="A16" s="5" t="str">
        <x:v>P06-11</x:v>
      </x:c>
      <x:c r="B16" s="5" t="str">
        <x:v>Agent Studio</x:v>
      </x:c>
      <x:c r="C16" s="5" t="str">
        <x:v>Product overview</x:v>
      </x:c>
      <x:c r="D16" s="5" t="str">
        <x:v>From the first idea to a workflow your team can use</x:v>
      </x:c>
      <x:c r="E16" s="5" t="str">
        <x:v>A009</x:v>
      </x:c>
      <x:c r="F16" s="5" t="str">
        <x:v>Retain the existing interactive workspace. Optional static poster only if a still image is needed.</x:v>
      </x:c>
      <x:c r="G16" s="5" t="str">
        <x:v>Reuse</x:v>
      </x:c>
      <x:c r="H16" s="5" t="str">
        <x:f>'Production assets'!F14</x:f>
        <x:v>Existing</x:v>
      </x:c>
      <x:c r="I16" s="5" t="str">
        <x:v>Live component; optional 1920 px wide poster</x:v>
      </x:c>
      <x:c r="J16" s="5" t="str">
        <x:v>Interactive workspace</x:v>
      </x:c>
      <x:c r="K16" s="5" t="str">
        <x:v>CSS gradient + live UI</x:v>
      </x:c>
      <x:c r="L16" s="5" t="str">
        <x:v>960 x 678</x:v>
      </x:c>
      <x:c r="M16" s="5" t="str">
        <x:v>Ice blue, white, teal, deep green</x:v>
      </x:c>
      <x:c r="N16" s="5" t="str">
        <x:v>Do not replace working controls with a flattened image.</x:v>
      </x:c>
      <x:c r="O16" s="5" t="str">
        <x:v>http://localhost:3000/products/agent-studio</x:v>
      </x:c>
    </x:row>
    <x:row r="17" ht="51" customHeight="1">
      <x:c r="A17" s="10" t="str">
        <x:v>P06-12</x:v>
      </x:c>
      <x:c r="B17" s="10" t="str">
        <x:v>Agent Studio</x:v>
      </x:c>
      <x:c r="C17" s="10" t="str">
        <x:v>Feature detail</x:v>
      </x:c>
      <x:c r="D17" s="10" t="str">
        <x:v>Start with a template, a prompt, or a blank canvas</x:v>
      </x:c>
      <x:c r="E17" s="10" t="str">
        <x:v>A044</x:v>
      </x:c>
      <x:c r="F17" s="10" t="str">
        <x:v>Three creation entry cards: choose a template, describe a workflow, or start with a blank canvas.</x:v>
      </x:c>
      <x:c r="G17" s="10" t="str">
        <x:v>Create</x:v>
      </x:c>
      <x:c r="H17" s="10" t="str">
        <x:f>'Production assets'!F49</x:f>
        <x:v>Not started</x:v>
      </x:c>
      <x:c r="I17" s="10" t="str">
        <x:v>Editable SVG/layers + 1200 x 1200 WebP</x:v>
      </x:c>
      <x:c r="J17" s="10" t="str">
        <x:v>Generic workflow illustration</x:v>
      </x:c>
      <x:c r="K17" s="10" t="str">
        <x:v>CSS gradient + live UI</x:v>
      </x:c>
      <x:c r="L17" s="10" t="str">
        <x:v>580 x 580</x:v>
      </x:c>
      <x:c r="M17" s="10" t="str">
        <x:v>Ice blue, white, teal, deep green</x:v>
      </x:c>
      <x:c r="N17" s="10" t="str">
        <x:v>Preserve the existing CSS gradient. Export foreground separately with transparent background. Keep key UI within the central 80%.</x:v>
      </x:c>
      <x:c r="O17" s="10" t="str">
        <x:v>http://localhost:3000/products/agent-studio#creation-paths</x:v>
      </x:c>
    </x:row>
    <x:row r="18" ht="51" customHeight="1">
      <x:c r="A18" s="5" t="str">
        <x:v>P06-13</x:v>
      </x:c>
      <x:c r="B18" s="5" t="str">
        <x:v>Agent Studio</x:v>
      </x:c>
      <x:c r="C18" s="5" t="str">
        <x:v>Feature detail</x:v>
      </x:c>
      <x:c r="D18" s="5" t="str">
        <x:v>Make the logic visible</x:v>
      </x:c>
      <x:c r="E18" s="5" t="str">
        <x:v>A046</x:v>
      </x:c>
      <x:c r="F18" s="5" t="str">
        <x:v>A visual editor with connected steps and an open configuration drawer for one selected node.</x:v>
      </x:c>
      <x:c r="G18" s="5" t="str">
        <x:v>Create</x:v>
      </x:c>
      <x:c r="H18" s="5" t="str">
        <x:f>'Production assets'!F51</x:f>
        <x:v>Not started</x:v>
      </x:c>
      <x:c r="I18" s="5" t="str">
        <x:v>Editable SVG/layers + 1200 x 1200 WebP</x:v>
      </x:c>
      <x:c r="J18" s="5" t="str">
        <x:v>Generic workflow illustration</x:v>
      </x:c>
      <x:c r="K18" s="5" t="str">
        <x:v>CSS gradient + live UI</x:v>
      </x:c>
      <x:c r="L18" s="5" t="str">
        <x:v>532 x 532</x:v>
      </x:c>
      <x:c r="M18" s="5" t="str">
        <x:v>Ice blue, white, teal, deep green</x:v>
      </x:c>
      <x:c r="N18" s="5" t="str">
        <x:v>Preserve the existing CSS gradient. Export foreground separately with transparent background. Keep key UI within the central 80%.</x:v>
      </x:c>
      <x:c r="O18" s="5" t="str">
        <x:v>http://localhost:3000/products/agent-studio#visual-builder</x:v>
      </x:c>
    </x:row>
    <x:row r="19" ht="51" customHeight="1">
      <x:c r="A19" s="10" t="str">
        <x:v>P06-14</x:v>
      </x:c>
      <x:c r="B19" s="10" t="str">
        <x:v>Agent Studio</x:v>
      </x:c>
      <x:c r="C19" s="10" t="str">
        <x:v>Feature detail</x:v>
      </x:c>
      <x:c r="D19" s="10" t="str">
        <x:v>Keep your tools in the flow.</x:v>
      </x:c>
      <x:c r="E19" s="10" t="str">
        <x:v>A045</x:v>
      </x:c>
      <x:c r="F19" s="10" t="str">
        <x:v>A connectors drawer showing connected tools, their permission scopes and a selected action.</x:v>
      </x:c>
      <x:c r="G19" s="10" t="str">
        <x:v>Create</x:v>
      </x:c>
      <x:c r="H19" s="10" t="str">
        <x:f>'Production assets'!F50</x:f>
        <x:v>Not started</x:v>
      </x:c>
      <x:c r="I19" s="10" t="str">
        <x:v>Editable SVG/layers + 1200 x 1200 WebP</x:v>
      </x:c>
      <x:c r="J19" s="10" t="str">
        <x:v>Generic workflow illustration</x:v>
      </x:c>
      <x:c r="K19" s="10" t="str">
        <x:v>CSS gradient + live UI</x:v>
      </x:c>
      <x:c r="L19" s="10" t="str">
        <x:v>580 x 580</x:v>
      </x:c>
      <x:c r="M19" s="10" t="str">
        <x:v>Ice blue, white, teal, deep green</x:v>
      </x:c>
      <x:c r="N19" s="10" t="str">
        <x:v>Preserve the existing CSS gradient. Export foreground separately with transparent background. Keep key UI within the central 80%.</x:v>
      </x:c>
      <x:c r="O19" s="10" t="str">
        <x:v>http://localhost:3000/products/agent-studio#connectors</x:v>
      </x:c>
    </x:row>
    <x:row r="20" ht="51" customHeight="1">
      <x:c r="A20" s="5" t="str">
        <x:v>P06-15</x:v>
      </x:c>
      <x:c r="B20" s="5" t="str">
        <x:v>Agent Studio</x:v>
      </x:c>
      <x:c r="C20" s="5" t="str">
        <x:v>Feature detail</x:v>
      </x:c>
      <x:c r="D20" s="5" t="str">
        <x:v>Start with a repeatable operation</x:v>
      </x:c>
      <x:c r="E20" s="5" t="str">
        <x:v>A047</x:v>
      </x:c>
      <x:c r="F20" s="5" t="str">
        <x:v>A skill library card expanding into a preconfigured, editable operation.</x:v>
      </x:c>
      <x:c r="G20" s="5" t="str">
        <x:v>Create</x:v>
      </x:c>
      <x:c r="H20" s="5" t="str">
        <x:f>'Production assets'!F52</x:f>
        <x:v>Not started</x:v>
      </x:c>
      <x:c r="I20" s="5" t="str">
        <x:v>Editable SVG/layers + 1200 x 1200 WebP</x:v>
      </x:c>
      <x:c r="J20" s="5" t="str">
        <x:v>Generic workflow illustration</x:v>
      </x:c>
      <x:c r="K20" s="5" t="str">
        <x:v>CSS gradient + live UI</x:v>
      </x:c>
      <x:c r="L20" s="5" t="str">
        <x:v>532 x 532</x:v>
      </x:c>
      <x:c r="M20" s="5" t="str">
        <x:v>Ice blue, white, teal, deep green</x:v>
      </x:c>
      <x:c r="N20" s="5" t="str">
        <x:v>Preserve the existing CSS gradient. Export foreground separately with transparent background. Keep key UI within the central 80%.</x:v>
      </x:c>
      <x:c r="O20" s="5" t="str">
        <x:v>http://localhost:3000/products/agent-studio#templates</x:v>
      </x:c>
    </x:row>
    <x:row r="21" ht="51" customHeight="1">
      <x:c r="A21" s="10" t="str">
        <x:v>P06-16</x:v>
      </x:c>
      <x:c r="B21" s="10" t="str">
        <x:v>Agent Studio</x:v>
      </x:c>
      <x:c r="C21" s="10" t="str">
        <x:v>Feature detail</x:v>
      </x:c>
      <x:c r="D21" s="10" t="str">
        <x:v>Check the workflow before it goes live</x:v>
      </x:c>
      <x:c r="E21" s="10" t="str">
        <x:v>A048</x:v>
      </x:c>
      <x:c r="F21" s="10" t="str">
        <x:v>A workflow test console with sample input, expected output and a reviewable test result.</x:v>
      </x:c>
      <x:c r="G21" s="10" t="str">
        <x:v>Create</x:v>
      </x:c>
      <x:c r="H21" s="10" t="str">
        <x:f>'Production assets'!F53</x:f>
        <x:v>Not started</x:v>
      </x:c>
      <x:c r="I21" s="10" t="str">
        <x:v>Editable SVG/layers + 1200 x 1200 WebP</x:v>
      </x:c>
      <x:c r="J21" s="10" t="str">
        <x:v>Generic workflow illustration</x:v>
      </x:c>
      <x:c r="K21" s="10" t="str">
        <x:v>CSS gradient + live UI</x:v>
      </x:c>
      <x:c r="L21" s="10" t="str">
        <x:v>580 x 580</x:v>
      </x:c>
      <x:c r="M21" s="10" t="str">
        <x:v>Ice blue, white, teal, deep green</x:v>
      </x:c>
      <x:c r="N21" s="10" t="str">
        <x:v>Preserve the existing CSS gradient. Export foreground separately with transparent background. Keep key UI within the central 80%.</x:v>
      </x:c>
      <x:c r="O21" s="10" t="str">
        <x:v>http://localhost:3000/products/agent-studio#testing</x:v>
      </x:c>
    </x:row>
    <x:row r="22" ht="51" customHeight="1">
      <x:c r="A22" s="5" t="str">
        <x:v>P06-17</x:v>
      </x:c>
      <x:c r="B22" s="5" t="str">
        <x:v>Agent Studio</x:v>
      </x:c>
      <x:c r="C22" s="5" t="str">
        <x:v>Feature detail</x:v>
      </x:c>
      <x:c r="D22" s="5" t="str">
        <x:v>Understand what happened, step by step</x:v>
      </x:c>
      <x:c r="E22" s="5" t="str">
        <x:v>A049</x:v>
      </x:c>
      <x:c r="F22" s="5" t="str">
        <x:v>A step-by-step trace with one flagged step and its input and output panels expanded.</x:v>
      </x:c>
      <x:c r="G22" s="5" t="str">
        <x:v>Create</x:v>
      </x:c>
      <x:c r="H22" s="5" t="str">
        <x:f>'Production assets'!F54</x:f>
        <x:v>Not started</x:v>
      </x:c>
      <x:c r="I22" s="5" t="str">
        <x:v>Editable SVG/layers + 1200 x 1200 WebP</x:v>
      </x:c>
      <x:c r="J22" s="5" t="str">
        <x:v>Generic workflow illustration</x:v>
      </x:c>
      <x:c r="K22" s="5" t="str">
        <x:v>CSS gradient + live UI</x:v>
      </x:c>
      <x:c r="L22" s="5" t="str">
        <x:v>532 x 532</x:v>
      </x:c>
      <x:c r="M22" s="5" t="str">
        <x:v>Ice blue, white, teal, deep green</x:v>
      </x:c>
      <x:c r="N22" s="5" t="str">
        <x:v>Preserve the existing CSS gradient. Export foreground separately with transparent background. Keep key UI within the central 80%.</x:v>
      </x:c>
      <x:c r="O22" s="5" t="str">
        <x:v>http://localhost:3000/products/agent-studio#debugging</x:v>
      </x:c>
    </x:row>
    <x:row r="23" ht="51" customHeight="1">
      <x:c r="A23" s="10" t="str">
        <x:v>P06-18</x:v>
      </x:c>
      <x:c r="B23" s="10" t="str">
        <x:v>Agent Studio</x:v>
      </x:c>
      <x:c r="C23" s="10" t="str">
        <x:v>Feature detail</x:v>
      </x:c>
      <x:c r="D23" s="10" t="str">
        <x:v>Turn feedback into a better next run</x:v>
      </x:c>
      <x:c r="E23" s="10" t="str">
        <x:v>A050</x:v>
      </x:c>
      <x:c r="F23" s="10" t="str">
        <x:v>A feedback annotation beside a proposed revision and a comparison test.</x:v>
      </x:c>
      <x:c r="G23" s="10" t="str">
        <x:v>Create</x:v>
      </x:c>
      <x:c r="H23" s="10" t="str">
        <x:f>'Production assets'!F55</x:f>
        <x:v>Not started</x:v>
      </x:c>
      <x:c r="I23" s="10" t="str">
        <x:v>Editable SVG/layers + 1200 x 1200 WebP</x:v>
      </x:c>
      <x:c r="J23" s="10" t="str">
        <x:v>Generic workflow illustration</x:v>
      </x:c>
      <x:c r="K23" s="10" t="str">
        <x:v>CSS gradient + live UI</x:v>
      </x:c>
      <x:c r="L23" s="10" t="str">
        <x:v>580 x 580</x:v>
      </x:c>
      <x:c r="M23" s="10" t="str">
        <x:v>Ice blue, white, teal, deep green</x:v>
      </x:c>
      <x:c r="N23" s="10" t="str">
        <x:v>Preserve the existing CSS gradient. Export foreground separately with transparent background. Keep key UI within the central 80%.</x:v>
      </x:c>
      <x:c r="O23" s="10" t="str">
        <x:v>http://localhost:3000/products/agent-studio#learning</x:v>
      </x:c>
    </x:row>
    <x:row r="24" ht="51" customHeight="1">
      <x:c r="A24" s="5" t="str">
        <x:v>P06-19</x:v>
      </x:c>
      <x:c r="B24" s="5" t="str">
        <x:v>Agent Studio</x:v>
      </x:c>
      <x:c r="C24" s="5" t="str">
        <x:v>Feature detail</x:v>
      </x:c>
      <x:c r="D24" s="5" t="str">
        <x:v>Move from a tested workflow to everyday work</x:v>
      </x:c>
      <x:c r="E24" s="5" t="str">
        <x:v>A051</x:v>
      </x:c>
      <x:c r="F24" s="5" t="str">
        <x:v>A tested workflow moving through a release checklist into a published version, with a rollback option.</x:v>
      </x:c>
      <x:c r="G24" s="5" t="str">
        <x:v>Create</x:v>
      </x:c>
      <x:c r="H24" s="5" t="str">
        <x:f>'Production assets'!F56</x:f>
        <x:v>Not started</x:v>
      </x:c>
      <x:c r="I24" s="5" t="str">
        <x:v>Editable SVG/layers + 1200 x 1200 WebP</x:v>
      </x:c>
      <x:c r="J24" s="5" t="str">
        <x:v>Generic workflow illustration</x:v>
      </x:c>
      <x:c r="K24" s="5" t="str">
        <x:v>CSS gradient + live UI</x:v>
      </x:c>
      <x:c r="L24" s="5" t="str">
        <x:v>532 x 532</x:v>
      </x:c>
      <x:c r="M24" s="5" t="str">
        <x:v>Ice blue, white, teal, deep green</x:v>
      </x:c>
      <x:c r="N24" s="5" t="str">
        <x:v>Preserve the existing CSS gradient. Export foreground separately with transparent background. Keep key UI within the central 80%.</x:v>
      </x:c>
      <x:c r="O24" s="5" t="str">
        <x:v>http://localhost:3000/products/agent-studio#publish</x:v>
      </x:c>
    </x:row>
    <x:row r="25" ht="38" customHeight="1">
      <x:c r="A25" s="10" t="str">
        <x:v>P06-20</x:v>
      </x:c>
      <x:c r="B25" s="10" t="str">
        <x:v>Agent Studio</x:v>
      </x:c>
      <x:c r="C25" s="10" t="str">
        <x:v>Related product thumbnail</x:v>
      </x:c>
      <x:c r="D25" s="10" t="str">
        <x:v>Platform</x:v>
      </x:c>
      <x:c r="E25" s="10" t="str">
        <x:v>A015</x:v>
      </x:c>
      <x:c r="F25" s="10" t="str">
        <x:v>A compact workspace overview linking agents, tools and shared knowledge.</x:v>
      </x:c>
      <x:c r="G25" s="10" t="str">
        <x:v>Create</x:v>
      </x:c>
      <x:c r="H25" s="10" t="str">
        <x:f>'Production assets'!F20</x:f>
        <x:v>Not started</x:v>
      </x:c>
      <x:c r="I25" s="10" t="str">
        <x:v>Editable SVG + 1200 x 1000 WebP</x:v>
      </x:c>
      <x:c r="J25" s="10" t="str">
        <x:v>Generic star on gradient</x:v>
      </x:c>
      <x:c r="K25" s="10" t="str">
        <x:v>/brand/calendly/assistant-hero.svg + star glyph</x:v>
      </x:c>
      <x:c r="L25" s="10" t="str">
        <x:v>227 x 189</x:v>
      </x:c>
      <x:c r="M25" s="10" t="str">
        <x:v>Ice blue, white, teal, deep green</x:v>
      </x:c>
      <x:c r="N25" s="10" t="str">
        <x:v>Create once and reuse across related-product cards and the Platform card rail. Keep the gradient separate.</x:v>
      </x:c>
      <x:c r="O25" s="10" t="str">
        <x:v>http://localhost:3000/products/agent-studio</x:v>
      </x:c>
    </x:row>
    <x:row r="26" ht="38" customHeight="1">
      <x:c r="A26" s="5" t="str">
        <x:v>P06-21</x:v>
      </x:c>
      <x:c r="B26" s="5" t="str">
        <x:v>Agent Studio</x:v>
      </x:c>
      <x:c r="C26" s="5" t="str">
        <x:v>Related product thumbnail</x:v>
      </x:c>
      <x:c r="D26" s="5" t="str">
        <x:v>Integrations</x:v>
      </x:c>
      <x:c r="E26" s="5" t="str">
        <x:v>A006</x:v>
      </x:c>
      <x:c r="F26" s="5" t="str">
        <x:v>A central Innflow node connected to a small set of tool tiles.</x:v>
      </x:c>
      <x:c r="G26" s="5" t="str">
        <x:v>Create</x:v>
      </x:c>
      <x:c r="H26" s="5" t="str">
        <x:f>'Production assets'!F11</x:f>
        <x:v>Not started</x:v>
      </x:c>
      <x:c r="I26" s="5" t="str">
        <x:v>Editable SVG + 1200 x 1000 WebP</x:v>
      </x:c>
      <x:c r="J26" s="5" t="str">
        <x:v>Generic star on gradient</x:v>
      </x:c>
      <x:c r="K26" s="5" t="str">
        <x:v>/brand/calendly/scheduling-hero.svg + star glyph</x:v>
      </x:c>
      <x:c r="L26" s="5" t="str">
        <x:v>227 x 189</x:v>
      </x:c>
      <x:c r="M26" s="5" t="str">
        <x:v>Sky blue, pale aqua, navy</x:v>
      </x:c>
      <x:c r="N26" s="5" t="str">
        <x:v>Create once and reuse across related-product cards and the Platform card rail. Keep the gradient separate.</x:v>
      </x:c>
      <x:c r="O26" s="5" t="str">
        <x:v>http://localhost:3000/products/agent-studio</x:v>
      </x:c>
    </x:row>
    <x:row r="27" ht="38" customHeight="1">
      <x:c r="A27" s="10" t="str">
        <x:v>P06-22</x:v>
      </x:c>
      <x:c r="B27" s="10" t="str">
        <x:v>Agent Studio</x:v>
      </x:c>
      <x:c r="C27" s="10" t="str">
        <x:v>Related product thumbnail</x:v>
      </x:c>
      <x:c r="D27" s="10" t="str">
        <x:v>Agentic Workflows</x:v>
      </x:c>
      <x:c r="E27" s="10" t="str">
        <x:v>A010</x:v>
      </x:c>
      <x:c r="F27" s="10" t="str">
        <x:v>A compact workflow canvas with trigger, branch and action nodes.</x:v>
      </x:c>
      <x:c r="G27" s="10" t="str">
        <x:v>Create</x:v>
      </x:c>
      <x:c r="H27" s="10" t="str">
        <x:f>'Production assets'!F15</x:f>
        <x:v>Not started</x:v>
      </x:c>
      <x:c r="I27" s="10" t="str">
        <x:v>Editable SVG + 1200 x 1000 WebP</x:v>
      </x:c>
      <x:c r="J27" s="10" t="str">
        <x:v>Generic star on gradient</x:v>
      </x:c>
      <x:c r="K27" s="10" t="str">
        <x:v>/brand/calendly/notetaker-hero.svg + star glyph</x:v>
      </x:c>
      <x:c r="L27" s="10" t="str">
        <x:v>227 x 189</x:v>
      </x:c>
      <x:c r="M27" s="10" t="str">
        <x:v>Navy, blue, blush, lavender</x:v>
      </x:c>
      <x:c r="N27" s="10" t="str">
        <x:v>Create once and reuse across related-product cards and the Platform card rail. Keep the gradient separate.</x:v>
      </x:c>
      <x:c r="O27" s="10" t="str">
        <x:v>http://localhost:3000/products/agent-studio</x:v>
      </x:c>
    </x:row>
    <x:row r="28" ht="38" customHeight="1">
      <x:c r="A28" s="5" t="str">
        <x:v>P06-23</x:v>
      </x:c>
      <x:c r="B28" s="5" t="str">
        <x:v>Agent Studio</x:v>
      </x:c>
      <x:c r="C28" s="5" t="str">
        <x:v>Related product thumbnail</x:v>
      </x:c>
      <x:c r="D28" s="5" t="str">
        <x:v>Agent OS</x:v>
      </x:c>
      <x:c r="E28" s="5" t="str">
        <x:v>A011</x:v>
      </x:c>
      <x:c r="F28" s="5" t="str">
        <x:v>A small orchestration graph connecting agents and shared memory.</x:v>
      </x:c>
      <x:c r="G28" s="5" t="str">
        <x:v>Create</x:v>
      </x:c>
      <x:c r="H28" s="5" t="str">
        <x:f>'Production assets'!F16</x:f>
        <x:v>Not started</x:v>
      </x:c>
      <x:c r="I28" s="5" t="str">
        <x:v>Editable SVG + 1200 x 1000 WebP</x:v>
      </x:c>
      <x:c r="J28" s="5" t="str">
        <x:v>Generic star on gradient</x:v>
      </x:c>
      <x:c r="K28" s="5" t="str">
        <x:v>/brand/calendly/contacts-hero.svg + star glyph</x:v>
      </x:c>
      <x:c r="L28" s="5" t="str">
        <x:v>227 x 189</x:v>
      </x:c>
      <x:c r="M28" s="5" t="str">
        <x:v>Cream, peach, pink, blue</x:v>
      </x:c>
      <x:c r="N28" s="5" t="str">
        <x:v>Create once and reuse across related-product cards and the Platform card rail. Keep the gradient separate.</x:v>
      </x:c>
      <x:c r="O28" s="5" t="str">
        <x:v>http://localhost:3000/products/agent-studio</x:v>
      </x:c>
    </x:row>
    <x:row r="29" ht="38" customHeight="1">
      <x:c r="A29" s="10" t="str">
        <x:v>P06-24</x:v>
      </x:c>
      <x:c r="B29" s="10" t="str">
        <x:v>Agent Studio</x:v>
      </x:c>
      <x:c r="C29" s="10" t="str">
        <x:v>Related product thumbnail</x:v>
      </x:c>
      <x:c r="D29" s="10" t="str">
        <x:v>AI Agents</x:v>
      </x:c>
      <x:c r="E29" s="10" t="str">
        <x:v>A012</x:v>
      </x:c>
      <x:c r="F29" s="10" t="str">
        <x:v>An agent task card with linked evidence and a proposed next action.</x:v>
      </x:c>
      <x:c r="G29" s="10" t="str">
        <x:v>Create</x:v>
      </x:c>
      <x:c r="H29" s="10" t="str">
        <x:f>'Production assets'!F17</x:f>
        <x:v>Not started</x:v>
      </x:c>
      <x:c r="I29" s="10" t="str">
        <x:v>Editable SVG + 1200 x 1000 WebP</x:v>
      </x:c>
      <x:c r="J29" s="10" t="str">
        <x:v>Generic star on gradient</x:v>
      </x:c>
      <x:c r="K29" s="10" t="str">
        <x:v>/brand/calendly/payments-hero.svg + star glyph</x:v>
      </x:c>
      <x:c r="L29" s="10" t="str">
        <x:v>227 x 189</x:v>
      </x:c>
      <x:c r="M29" s="10" t="str">
        <x:v>Pale mint, aqua, blue, navy</x:v>
      </x:c>
      <x:c r="N29" s="10" t="str">
        <x:v>Create once and reuse across related-product cards and the Platform card rail. Keep the gradient separate.</x:v>
      </x:c>
      <x:c r="O29" s="10" t="str">
        <x:v>http://localhost:3000/products/agent-studio</x:v>
      </x:c>
    </x:row>
  </x:sheetData>
  <x:pageMargins left="0.7" right="0.7" top="0.75" bottom="0.75" header="0.3" footer="0.3"/>
  <x:tableParts count="1">
    <x:tablePart xmlns:r="http://schemas.openxmlformats.org/officeDocument/2006/relationships" r:id="Rc346f48acf8a41f3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4" hidden="0" customWidth="1"/>
    <x:col min="2" max="2" width="25" hidden="0" customWidth="1"/>
    <x:col min="3" max="3" width="24" hidden="0" customWidth="1"/>
    <x:col min="4" max="4" width="40" hidden="0" customWidth="1"/>
    <x:col min="5" max="5" width="12" hidden="0" customWidth="1"/>
    <x:col min="6" max="6" width="76" hidden="0" customWidth="1"/>
    <x:col min="7" max="7" width="14" hidden="0" customWidth="1"/>
    <x:col min="8" max="8" width="17" hidden="0" customWidth="1"/>
    <x:col min="9" max="9" width="40" hidden="0" customWidth="1"/>
    <x:col min="10" max="10" width="28" hidden="0" customWidth="1"/>
    <x:col min="11" max="11" width="65" hidden="0" customWidth="1"/>
    <x:col min="12" max="12" width="18" hidden="0" customWidth="1"/>
    <x:col min="13" max="13" width="30" hidden="0" customWidth="1"/>
    <x:col min="14" max="14" width="65" hidden="0" customWidth="1"/>
    <x:col min="15" max="15" width="6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>
      <x:c r="A2" s="2" t="str">
        <x:v>Agent Skills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>
      <x:c r="A3" s="3" t="str">
        <x:v>/skills | Scheduling reference. Status links to Production assets.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30" customHeight="1">
      <x:c r="A5" s="9" t="str">
        <x:v>Placement ID</x:v>
      </x:c>
      <x:c r="B5" s="9" t="str">
        <x:v>Page</x:v>
      </x:c>
      <x:c r="C5" s="9" t="str">
        <x:v>Section</x:v>
      </x:c>
      <x:c r="D5" s="9" t="str">
        <x:v>Section title</x:v>
      </x:c>
      <x:c r="E5" s="9" t="str">
        <x:v>Asset ID</x:v>
      </x:c>
      <x:c r="F5" s="9" t="str">
        <x:v>Recommended artwork</x:v>
      </x:c>
      <x:c r="G5" s="9" t="str">
        <x:v>Action</x:v>
      </x:c>
      <x:c r="H5" s="9" t="str">
        <x:v>Status</x:v>
      </x:c>
      <x:c r="I5" s="9" t="str">
        <x:v>Recommended deliverable</x:v>
      </x:c>
      <x:c r="J5" s="9" t="str">
        <x:v>Current artwork</x:v>
      </x:c>
      <x:c r="K5" s="9" t="str">
        <x:v>Current sources</x:v>
      </x:c>
      <x:c r="L5" s="9" t="str">
        <x:v>Desktop size (px)</x:v>
      </x:c>
      <x:c r="M5" s="9" t="str">
        <x:v>Gradient palette</x:v>
      </x:c>
      <x:c r="N5" s="9" t="str">
        <x:v>Reuse and crop notes</x:v>
      </x:c>
      <x:c r="O5" s="9" t="str">
        <x:v>Page reference</x:v>
      </x:c>
    </x:row>
    <x:row r="6" ht="38" customHeight="1">
      <x:c r="A6" s="5" t="str">
        <x:v>P07-01</x:v>
      </x:c>
      <x:c r="B6" s="5" t="str">
        <x:v>Agent Skills</x:v>
      </x:c>
      <x:c r="C6" s="5" t="str">
        <x:v>Hero background</x:v>
      </x:c>
      <x:c r="D6" s="5" t="str">
        <x:v>Start with a skill. Make it your own.</x:v>
      </x:c>
      <x:c r="E6" s="5" t="str">
        <x:v>A014</x:v>
      </x:c>
      <x:c r="F6" s="5" t="str">
        <x:v>Reuse the existing Paper SVG as a separate background layer. No new background required.</x:v>
      </x:c>
      <x:c r="G6" s="5" t="str">
        <x:v>Reuse</x:v>
      </x:c>
      <x:c r="H6" s="5" t="str">
        <x:f>'Production assets'!F19</x:f>
        <x:v>Existing</x:v>
      </x:c>
      <x:c r="I6" s="5" t="str">
        <x:v>Existing scalable SVG</x:v>
      </x:c>
      <x:c r="J6" s="5" t="str">
        <x:v>Existing background</x:v>
      </x:c>
      <x:c r="K6" s="5" t="str">
        <x:v>/brand/calendly/scheduling-hero.svg</x:v>
      </x:c>
      <x:c r="L6" s="5" t="str">
        <x:v>1387 x 776</x:v>
      </x:c>
      <x:c r="M6" s="5" t="str">
        <x:v>Sky blue, pale aqua, navy</x:v>
      </x:c>
      <x:c r="N6" s="5" t="str">
        <x:v>Shared by every page using this style.</x:v>
      </x:c>
      <x:c r="O6" s="5" t="str">
        <x:v>http://localhost:3000/skills</x:v>
      </x:c>
    </x:row>
    <x:row r="7" ht="38" customHeight="1">
      <x:c r="A7" s="10" t="str">
        <x:v>P07-02</x:v>
      </x:c>
      <x:c r="B7" s="10" t="str">
        <x:v>Agent Skills</x:v>
      </x:c>
      <x:c r="C7" s="10" t="str">
        <x:v>Related product thumbnail</x:v>
      </x:c>
      <x:c r="D7" s="10" t="str">
        <x:v>Platform</x:v>
      </x:c>
      <x:c r="E7" s="10" t="str">
        <x:v>A015</x:v>
      </x:c>
      <x:c r="F7" s="10" t="str">
        <x:v>A compact workspace overview linking agents, tools and shared knowledge.</x:v>
      </x:c>
      <x:c r="G7" s="10" t="str">
        <x:v>Create</x:v>
      </x:c>
      <x:c r="H7" s="10" t="str">
        <x:f>'Production assets'!F20</x:f>
        <x:v>Not started</x:v>
      </x:c>
      <x:c r="I7" s="10" t="str">
        <x:v>Editable SVG + 1200 x 1000 WebP</x:v>
      </x:c>
      <x:c r="J7" s="10" t="str">
        <x:v>Generic star on gradient</x:v>
      </x:c>
      <x:c r="K7" s="10" t="str">
        <x:v>/brand/calendly/assistant-hero.svg + star glyph</x:v>
      </x:c>
      <x:c r="L7" s="10" t="str">
        <x:v>227 x 189</x:v>
      </x:c>
      <x:c r="M7" s="10" t="str">
        <x:v>Ice blue, white, teal, deep green</x:v>
      </x:c>
      <x:c r="N7" s="10" t="str">
        <x:v>Create once and reuse across related-product cards and the Platform card rail. Keep the gradient separate.</x:v>
      </x:c>
      <x:c r="O7" s="10" t="str">
        <x:v>http://localhost:3000/skills</x:v>
      </x:c>
    </x:row>
    <x:row r="8" ht="38" customHeight="1">
      <x:c r="A8" s="5" t="str">
        <x:v>P07-03</x:v>
      </x:c>
      <x:c r="B8" s="5" t="str">
        <x:v>Agent Skills</x:v>
      </x:c>
      <x:c r="C8" s="5" t="str">
        <x:v>Related product thumbnail</x:v>
      </x:c>
      <x:c r="D8" s="5" t="str">
        <x:v>Integrations</x:v>
      </x:c>
      <x:c r="E8" s="5" t="str">
        <x:v>A006</x:v>
      </x:c>
      <x:c r="F8" s="5" t="str">
        <x:v>A central Innflow node connected to a small set of tool tiles.</x:v>
      </x:c>
      <x:c r="G8" s="5" t="str">
        <x:v>Create</x:v>
      </x:c>
      <x:c r="H8" s="5" t="str">
        <x:f>'Production assets'!F11</x:f>
        <x:v>Not started</x:v>
      </x:c>
      <x:c r="I8" s="5" t="str">
        <x:v>Editable SVG + 1200 x 1000 WebP</x:v>
      </x:c>
      <x:c r="J8" s="5" t="str">
        <x:v>Generic star on gradient</x:v>
      </x:c>
      <x:c r="K8" s="5" t="str">
        <x:v>/brand/calendly/scheduling-hero.svg + star glyph</x:v>
      </x:c>
      <x:c r="L8" s="5" t="str">
        <x:v>227 x 189</x:v>
      </x:c>
      <x:c r="M8" s="5" t="str">
        <x:v>Sky blue, pale aqua, navy</x:v>
      </x:c>
      <x:c r="N8" s="5" t="str">
        <x:v>Create once and reuse across related-product cards and the Platform card rail. Keep the gradient separate.</x:v>
      </x:c>
      <x:c r="O8" s="5" t="str">
        <x:v>http://localhost:3000/skills</x:v>
      </x:c>
    </x:row>
    <x:row r="9" ht="38" customHeight="1">
      <x:c r="A9" s="10" t="str">
        <x:v>P07-04</x:v>
      </x:c>
      <x:c r="B9" s="10" t="str">
        <x:v>Agent Skills</x:v>
      </x:c>
      <x:c r="C9" s="10" t="str">
        <x:v>Related product thumbnail</x:v>
      </x:c>
      <x:c r="D9" s="10" t="str">
        <x:v>Agentic Workflows</x:v>
      </x:c>
      <x:c r="E9" s="10" t="str">
        <x:v>A010</x:v>
      </x:c>
      <x:c r="F9" s="10" t="str">
        <x:v>A compact workflow canvas with trigger, branch and action nodes.</x:v>
      </x:c>
      <x:c r="G9" s="10" t="str">
        <x:v>Create</x:v>
      </x:c>
      <x:c r="H9" s="10" t="str">
        <x:f>'Production assets'!F15</x:f>
        <x:v>Not started</x:v>
      </x:c>
      <x:c r="I9" s="10" t="str">
        <x:v>Editable SVG + 1200 x 1000 WebP</x:v>
      </x:c>
      <x:c r="J9" s="10" t="str">
        <x:v>Generic star on gradient</x:v>
      </x:c>
      <x:c r="K9" s="10" t="str">
        <x:v>/brand/calendly/notetaker-hero.svg + star glyph</x:v>
      </x:c>
      <x:c r="L9" s="10" t="str">
        <x:v>227 x 189</x:v>
      </x:c>
      <x:c r="M9" s="10" t="str">
        <x:v>Navy, blue, blush, lavender</x:v>
      </x:c>
      <x:c r="N9" s="10" t="str">
        <x:v>Create once and reuse across related-product cards and the Platform card rail. Keep the gradient separate.</x:v>
      </x:c>
      <x:c r="O9" s="10" t="str">
        <x:v>http://localhost:3000/skills</x:v>
      </x:c>
    </x:row>
    <x:row r="10" ht="38" customHeight="1">
      <x:c r="A10" s="5" t="str">
        <x:v>P07-05</x:v>
      </x:c>
      <x:c r="B10" s="5" t="str">
        <x:v>Agent Skills</x:v>
      </x:c>
      <x:c r="C10" s="5" t="str">
        <x:v>Related product thumbnail</x:v>
      </x:c>
      <x:c r="D10" s="5" t="str">
        <x:v>Agent OS</x:v>
      </x:c>
      <x:c r="E10" s="5" t="str">
        <x:v>A011</x:v>
      </x:c>
      <x:c r="F10" s="5" t="str">
        <x:v>A small orchestration graph connecting agents and shared memory.</x:v>
      </x:c>
      <x:c r="G10" s="5" t="str">
        <x:v>Create</x:v>
      </x:c>
      <x:c r="H10" s="5" t="str">
        <x:f>'Production assets'!F16</x:f>
        <x:v>Not started</x:v>
      </x:c>
      <x:c r="I10" s="5" t="str">
        <x:v>Editable SVG + 1200 x 1000 WebP</x:v>
      </x:c>
      <x:c r="J10" s="5" t="str">
        <x:v>Generic star on gradient</x:v>
      </x:c>
      <x:c r="K10" s="5" t="str">
        <x:v>/brand/calendly/contacts-hero.svg + star glyph</x:v>
      </x:c>
      <x:c r="L10" s="5" t="str">
        <x:v>227 x 189</x:v>
      </x:c>
      <x:c r="M10" s="5" t="str">
        <x:v>Cream, peach, pink, blue</x:v>
      </x:c>
      <x:c r="N10" s="5" t="str">
        <x:v>Create once and reuse across related-product cards and the Platform card rail. Keep the gradient separate.</x:v>
      </x:c>
      <x:c r="O10" s="5" t="str">
        <x:v>http://localhost:3000/skills</x:v>
      </x:c>
    </x:row>
    <x:row r="11" ht="38" customHeight="1">
      <x:c r="A11" s="10" t="str">
        <x:v>P07-06</x:v>
      </x:c>
      <x:c r="B11" s="10" t="str">
        <x:v>Agent Skills</x:v>
      </x:c>
      <x:c r="C11" s="10" t="str">
        <x:v>Related product thumbnail</x:v>
      </x:c>
      <x:c r="D11" s="10" t="str">
        <x:v>AI Agents</x:v>
      </x:c>
      <x:c r="E11" s="10" t="str">
        <x:v>A012</x:v>
      </x:c>
      <x:c r="F11" s="10" t="str">
        <x:v>An agent task card with linked evidence and a proposed next action.</x:v>
      </x:c>
      <x:c r="G11" s="10" t="str">
        <x:v>Create</x:v>
      </x:c>
      <x:c r="H11" s="10" t="str">
        <x:f>'Production assets'!F17</x:f>
        <x:v>Not started</x:v>
      </x:c>
      <x:c r="I11" s="10" t="str">
        <x:v>Editable SVG + 1200 x 1000 WebP</x:v>
      </x:c>
      <x:c r="J11" s="10" t="str">
        <x:v>Generic star on gradient</x:v>
      </x:c>
      <x:c r="K11" s="10" t="str">
        <x:v>/brand/calendly/payments-hero.svg + star glyph</x:v>
      </x:c>
      <x:c r="L11" s="10" t="str">
        <x:v>227 x 189</x:v>
      </x:c>
      <x:c r="M11" s="10" t="str">
        <x:v>Pale mint, aqua, blue, navy</x:v>
      </x:c>
      <x:c r="N11" s="10" t="str">
        <x:v>Create once and reuse across related-product cards and the Platform card rail. Keep the gradient separate.</x:v>
      </x:c>
      <x:c r="O11" s="10" t="str">
        <x:v>http://localhost:3000/skills</x:v>
      </x:c>
    </x:row>
  </x:sheetData>
  <x:pageMargins left="0.7" right="0.7" top="0.75" bottom="0.75" header="0.3" footer="0.3"/>
  <x:tableParts count="1">
    <x:tablePart xmlns:r="http://schemas.openxmlformats.org/officeDocument/2006/relationships" r:id="Rf1144964605f4629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4" hidden="0" customWidth="1"/>
    <x:col min="2" max="2" width="25" hidden="0" customWidth="1"/>
    <x:col min="3" max="3" width="24" hidden="0" customWidth="1"/>
    <x:col min="4" max="4" width="40" hidden="0" customWidth="1"/>
    <x:col min="5" max="5" width="12" hidden="0" customWidth="1"/>
    <x:col min="6" max="6" width="76" hidden="0" customWidth="1"/>
    <x:col min="7" max="7" width="14" hidden="0" customWidth="1"/>
    <x:col min="8" max="8" width="17" hidden="0" customWidth="1"/>
    <x:col min="9" max="9" width="40" hidden="0" customWidth="1"/>
    <x:col min="10" max="10" width="28" hidden="0" customWidth="1"/>
    <x:col min="11" max="11" width="65" hidden="0" customWidth="1"/>
    <x:col min="12" max="12" width="18" hidden="0" customWidth="1"/>
    <x:col min="13" max="13" width="30" hidden="0" customWidth="1"/>
    <x:col min="14" max="14" width="65" hidden="0" customWidth="1"/>
    <x:col min="15" max="15" width="6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>
      <x:c r="A2" s="2" t="str">
        <x:v>Files &amp; Documents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>
      <x:c r="A3" s="3" t="str">
        <x:v>/files-and-documents | Notetaker reference. Status links to Production assets.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30" customHeight="1">
      <x:c r="A5" s="9" t="str">
        <x:v>Placement ID</x:v>
      </x:c>
      <x:c r="B5" s="9" t="str">
        <x:v>Page</x:v>
      </x:c>
      <x:c r="C5" s="9" t="str">
        <x:v>Section</x:v>
      </x:c>
      <x:c r="D5" s="9" t="str">
        <x:v>Section title</x:v>
      </x:c>
      <x:c r="E5" s="9" t="str">
        <x:v>Asset ID</x:v>
      </x:c>
      <x:c r="F5" s="9" t="str">
        <x:v>Recommended artwork</x:v>
      </x:c>
      <x:c r="G5" s="9" t="str">
        <x:v>Action</x:v>
      </x:c>
      <x:c r="H5" s="9" t="str">
        <x:v>Status</x:v>
      </x:c>
      <x:c r="I5" s="9" t="str">
        <x:v>Recommended deliverable</x:v>
      </x:c>
      <x:c r="J5" s="9" t="str">
        <x:v>Current artwork</x:v>
      </x:c>
      <x:c r="K5" s="9" t="str">
        <x:v>Current sources</x:v>
      </x:c>
      <x:c r="L5" s="9" t="str">
        <x:v>Desktop size (px)</x:v>
      </x:c>
      <x:c r="M5" s="9" t="str">
        <x:v>Gradient palette</x:v>
      </x:c>
      <x:c r="N5" s="9" t="str">
        <x:v>Reuse and crop notes</x:v>
      </x:c>
      <x:c r="O5" s="9" t="str">
        <x:v>Page reference</x:v>
      </x:c>
    </x:row>
    <x:row r="6" ht="38" customHeight="1">
      <x:c r="A6" s="5" t="str">
        <x:v>P08-01</x:v>
      </x:c>
      <x:c r="B6" s="5" t="str">
        <x:v>Files &amp; Documents</x:v>
      </x:c>
      <x:c r="C6" s="5" t="str">
        <x:v>Hero background</x:v>
      </x:c>
      <x:c r="D6" s="5" t="str">
        <x:v>Keep property files close to the work.</x:v>
      </x:c>
      <x:c r="E6" s="5" t="str">
        <x:v>A016</x:v>
      </x:c>
      <x:c r="F6" s="5" t="str">
        <x:v>Reuse the existing Paper SVG as a separate background layer. No new background required.</x:v>
      </x:c>
      <x:c r="G6" s="5" t="str">
        <x:v>Reuse</x:v>
      </x:c>
      <x:c r="H6" s="5" t="str">
        <x:f>'Production assets'!F21</x:f>
        <x:v>Existing</x:v>
      </x:c>
      <x:c r="I6" s="5" t="str">
        <x:v>Existing scalable SVG</x:v>
      </x:c>
      <x:c r="J6" s="5" t="str">
        <x:v>Existing background</x:v>
      </x:c>
      <x:c r="K6" s="5" t="str">
        <x:v>/brand/calendly/notetaker-hero.svg</x:v>
      </x:c>
      <x:c r="L6" s="5" t="str">
        <x:v>1387 x 776</x:v>
      </x:c>
      <x:c r="M6" s="5" t="str">
        <x:v>Navy, blue, blush, lavender</x:v>
      </x:c>
      <x:c r="N6" s="5" t="str">
        <x:v>Shared by every page using this style.</x:v>
      </x:c>
      <x:c r="O6" s="5" t="str">
        <x:v>http://localhost:3000/files-and-documents</x:v>
      </x:c>
    </x:row>
    <x:row r="7" ht="51" customHeight="1">
      <x:c r="A7" s="10" t="str">
        <x:v>P08-02</x:v>
      </x:c>
      <x:c r="B7" s="10" t="str">
        <x:v>Files &amp; Documents</x:v>
      </x:c>
      <x:c r="C7" s="10" t="str">
        <x:v>Capability overview</x:v>
      </x:c>
      <x:c r="D7" s="10" t="str">
        <x:v>File Uploads</x:v>
      </x:c>
      <x:c r="E7" s="10" t="str">
        <x:v>A052</x:v>
      </x:c>
      <x:c r="F7" s="10" t="str">
        <x:v>An upload tray feeding a file library, with processing state and a newly added document.</x:v>
      </x:c>
      <x:c r="G7" s="10" t="str">
        <x:v>Rework</x:v>
      </x:c>
      <x:c r="H7" s="10" t="str">
        <x:f>'Production assets'!F57</x:f>
        <x:v>Not started</x:v>
      </x:c>
      <x:c r="I7" s="10" t="str">
        <x:v>Editable SVG/layers + 1200 x 1200 WebP</x:v>
      </x:c>
      <x:c r="J7" s="10" t="str">
        <x:v>Photo with layered UI</x:v>
      </x:c>
      <x:c r="K7" s="10" t="str">
        <x:v>/brand/feature-pages/storage/storage-01-file-uploads.webp
/brand/feature-pages/artwork/140-5042.svg</x:v>
      </x:c>
      <x:c r="L7" s="10" t="str">
        <x:v>580 x 580</x:v>
      </x:c>
      <x:c r="M7" s="10" t="str">
        <x:v>Navy, blue, blush, lavender</x:v>
      </x:c>
      <x:c r="N7" s="10" t="str">
        <x:v>Preserve the existing CSS gradient. Export foreground separately with transparent background. Keep key UI within the central 80%. Reuses the first feature detail artwork.</x:v>
      </x:c>
      <x:c r="O7" s="10" t="str">
        <x:v>http://localhost:3000/files-and-documents#file-uploads</x:v>
      </x:c>
    </x:row>
    <x:row r="8" ht="38" customHeight="1">
      <x:c r="A8" s="5" t="str">
        <x:v>P08-03</x:v>
      </x:c>
      <x:c r="B8" s="5" t="str">
        <x:v>Files &amp; Documents</x:v>
      </x:c>
      <x:c r="C8" s="5" t="str">
        <x:v>Product overview</x:v>
      </x:c>
      <x:c r="D8" s="5" t="str">
        <x:v>Give every file a useful place in the workflow.</x:v>
      </x:c>
      <x:c r="E8" s="5" t="str">
        <x:v>A053</x:v>
      </x:c>
      <x:c r="F8" s="5" t="str">
        <x:v>A wide file library with upload, search and document detail panels.</x:v>
      </x:c>
      <x:c r="G8" s="5" t="str">
        <x:v>Rework</x:v>
      </x:c>
      <x:c r="H8" s="5" t="str">
        <x:f>'Production assets'!F58</x:f>
        <x:v>Not started</x:v>
      </x:c>
      <x:c r="I8" s="5" t="str">
        <x:v>Editable layers + 1920 x 620 WebP</x:v>
      </x:c>
      <x:c r="J8" s="5" t="str">
        <x:v>Existing overview photo</x:v>
      </x:c>
      <x:c r="K8" s="5" t="str">
        <x:v>/brand/feature-pages/storage/storage-hero.webp</x:v>
      </x:c>
      <x:c r="L8" s="5" t="str">
        <x:v>960 x 398</x:v>
      </x:c>
      <x:c r="M8" s="5" t="str">
        <x:v>Navy, blue, blush, lavender</x:v>
      </x:c>
      <x:c r="N8" s="5" t="str">
        <x:v>Replace the current overview photo with a product-led composition. Keep its wide framing.</x:v>
      </x:c>
      <x:c r="O8" s="5" t="str">
        <x:v>http://localhost:3000/files-and-documents</x:v>
      </x:c>
    </x:row>
    <x:row r="9" ht="51" customHeight="1">
      <x:c r="A9" s="10" t="str">
        <x:v>P08-04</x:v>
      </x:c>
      <x:c r="B9" s="10" t="str">
        <x:v>Files &amp; Documents</x:v>
      </x:c>
      <x:c r="C9" s="10" t="str">
        <x:v>Feature card</x:v>
      </x:c>
      <x:c r="D9" s="10" t="str">
        <x:v>Organized records</x:v>
      </x:c>
      <x:c r="E9" s="10" t="str">
        <x:v>A054</x:v>
      </x:c>
      <x:c r="F9" s="10" t="str">
        <x:v>A compact set of labeled folders and document cards grouped by project.</x:v>
      </x:c>
      <x:c r="G9" s="10" t="str">
        <x:v>Create</x:v>
      </x:c>
      <x:c r="H9" s="10" t="str">
        <x:f>'Production assets'!F59</x:f>
        <x:v>Not started</x:v>
      </x:c>
      <x:c r="I9" s="10" t="str">
        <x:v>1200 x 1000 WebP crop of shared master</x:v>
      </x:c>
      <x:c r="J9" s="10" t="str">
        <x:v>Text placeholder</x:v>
      </x:c>
      <x:c r="K9" s="10" t="str">
        <x:v>CSS gradient + live UI</x:v>
      </x:c>
      <x:c r="L9" s="10" t="str">
        <x:v>320 x 267</x:v>
      </x:c>
      <x:c r="M9" s="10" t="str">
        <x:v>Navy, blue, blush, lavender</x:v>
      </x:c>
      <x:c r="N9" s="10" t="str">
        <x:v>Preserve the existing CSS gradient. Export foreground separately with transparent background. Keep key UI within the central 80%.</x:v>
      </x:c>
      <x:c r="O9" s="10" t="str">
        <x:v>http://localhost:3000/files-and-documents</x:v>
      </x:c>
    </x:row>
    <x:row r="10" ht="51" customHeight="1">
      <x:c r="A10" s="5" t="str">
        <x:v>P08-05</x:v>
      </x:c>
      <x:c r="B10" s="5" t="str">
        <x:v>Files &amp; Documents</x:v>
      </x:c>
      <x:c r="C10" s="5" t="str">
        <x:v>Feature card</x:v>
      </x:c>
      <x:c r="D10" s="5" t="str">
        <x:v>Focused lookup</x:v>
      </x:c>
      <x:c r="E10" s="5" t="str">
        <x:v>A055</x:v>
      </x:c>
      <x:c r="F10" s="5" t="str">
        <x:v>A search query with one highlighted matching record and a filter chip.</x:v>
      </x:c>
      <x:c r="G10" s="5" t="str">
        <x:v>Create</x:v>
      </x:c>
      <x:c r="H10" s="5" t="str">
        <x:f>'Production assets'!F60</x:f>
        <x:v>Not started</x:v>
      </x:c>
      <x:c r="I10" s="5" t="str">
        <x:v>1200 x 1000 WebP crop of shared master</x:v>
      </x:c>
      <x:c r="J10" s="5" t="str">
        <x:v>Text placeholder</x:v>
      </x:c>
      <x:c r="K10" s="5" t="str">
        <x:v>CSS gradient + live UI</x:v>
      </x:c>
      <x:c r="L10" s="5" t="str">
        <x:v>320 x 267</x:v>
      </x:c>
      <x:c r="M10" s="5" t="str">
        <x:v>Navy, blue, blush, lavender</x:v>
      </x:c>
      <x:c r="N10" s="5" t="str">
        <x:v>Preserve the existing CSS gradient. Export foreground separately with transparent background. Keep key UI within the central 80%.</x:v>
      </x:c>
      <x:c r="O10" s="5" t="str">
        <x:v>http://localhost:3000/files-and-documents</x:v>
      </x:c>
    </x:row>
    <x:row r="11" ht="51" customHeight="1">
      <x:c r="A11" s="10" t="str">
        <x:v>P08-06</x:v>
      </x:c>
      <x:c r="B11" s="10" t="str">
        <x:v>Files &amp; Documents</x:v>
      </x:c>
      <x:c r="C11" s="10" t="str">
        <x:v>Feature card</x:v>
      </x:c>
      <x:c r="D11" s="10" t="str">
        <x:v>Useful context</x:v>
      </x:c>
      <x:c r="E11" s="10" t="str">
        <x:v>A056</x:v>
      </x:c>
      <x:c r="F11" s="10" t="str">
        <x:v>A document card connected to the task and owner that need it.</x:v>
      </x:c>
      <x:c r="G11" s="10" t="str">
        <x:v>Create</x:v>
      </x:c>
      <x:c r="H11" s="10" t="str">
        <x:f>'Production assets'!F61</x:f>
        <x:v>Not started</x:v>
      </x:c>
      <x:c r="I11" s="10" t="str">
        <x:v>1200 x 1000 WebP crop of shared master</x:v>
      </x:c>
      <x:c r="J11" s="10" t="str">
        <x:v>Text placeholder</x:v>
      </x:c>
      <x:c r="K11" s="10" t="str">
        <x:v>CSS gradient + live UI</x:v>
      </x:c>
      <x:c r="L11" s="10" t="str">
        <x:v>320 x 267</x:v>
      </x:c>
      <x:c r="M11" s="10" t="str">
        <x:v>Navy, blue, blush, lavender</x:v>
      </x:c>
      <x:c r="N11" s="10" t="str">
        <x:v>Preserve the existing CSS gradient. Export foreground separately with transparent background. Keep key UI within the central 80%.</x:v>
      </x:c>
      <x:c r="O11" s="10" t="str">
        <x:v>http://localhost:3000/files-and-documents</x:v>
      </x:c>
    </x:row>
    <x:row r="12" ht="51" customHeight="1">
      <x:c r="A12" s="5" t="str">
        <x:v>P08-07</x:v>
      </x:c>
      <x:c r="B12" s="5" t="str">
        <x:v>Files &amp; Documents</x:v>
      </x:c>
      <x:c r="C12" s="5" t="str">
        <x:v>Feature detail</x:v>
      </x:c>
      <x:c r="D12" s="5" t="str">
        <x:v>Bring the right files into view.</x:v>
      </x:c>
      <x:c r="E12" s="5" t="str">
        <x:v>A052</x:v>
      </x:c>
      <x:c r="F12" s="5" t="str">
        <x:v>An upload tray feeding a file library, with processing state and a newly added document.</x:v>
      </x:c>
      <x:c r="G12" s="5" t="str">
        <x:v>Rework</x:v>
      </x:c>
      <x:c r="H12" s="5" t="str">
        <x:f>'Production assets'!F57</x:f>
        <x:v>Not started</x:v>
      </x:c>
      <x:c r="I12" s="5" t="str">
        <x:v>Editable SVG/layers + 1200 x 1200 WebP</x:v>
      </x:c>
      <x:c r="J12" s="5" t="str">
        <x:v>Photo with layered UI</x:v>
      </x:c>
      <x:c r="K12" s="5" t="str">
        <x:v>/brand/feature-pages/storage/storage-01-file-uploads.webp
/brand/feature-pages/artwork/140-5042.svg</x:v>
      </x:c>
      <x:c r="L12" s="5" t="str">
        <x:v>580 x 580</x:v>
      </x:c>
      <x:c r="M12" s="5" t="str">
        <x:v>Navy, blue, blush, lavender</x:v>
      </x:c>
      <x:c r="N12" s="5" t="str">
        <x:v>Preserve the existing CSS gradient. Export foreground separately with transparent background. Keep key UI within the central 80%.</x:v>
      </x:c>
      <x:c r="O12" s="5" t="str">
        <x:v>http://localhost:3000/files-and-documents#file-uploads</x:v>
      </x:c>
    </x:row>
    <x:row r="13" ht="51" customHeight="1">
      <x:c r="A13" s="10" t="str">
        <x:v>P08-08</x:v>
      </x:c>
      <x:c r="B13" s="10" t="str">
        <x:v>Files &amp; Documents</x:v>
      </x:c>
      <x:c r="C13" s="10" t="str">
        <x:v>Feature detail</x:v>
      </x:c>
      <x:c r="D13" s="10" t="str">
        <x:v>Narrow the list with context.</x:v>
      </x:c>
      <x:c r="E13" s="10" t="str">
        <x:v>A057</x:v>
      </x:c>
      <x:c r="F13" s="10" t="str">
        <x:v>A file list narrowing through owner, type and project filters with the active filter chips visible.</x:v>
      </x:c>
      <x:c r="G13" s="10" t="str">
        <x:v>Rework</x:v>
      </x:c>
      <x:c r="H13" s="10" t="str">
        <x:f>'Production assets'!F62</x:f>
        <x:v>Not started</x:v>
      </x:c>
      <x:c r="I13" s="10" t="str">
        <x:v>Editable SVG/layers + 1200 x 1200 WebP</x:v>
      </x:c>
      <x:c r="J13" s="10" t="str">
        <x:v>Photo with layered UI</x:v>
      </x:c>
      <x:c r="K13" s="10" t="str">
        <x:v>/brand/feature-pages/storage/storage-02-file-filters.webp
/brand/feature-pages/artwork/140-5064.svg</x:v>
      </x:c>
      <x:c r="L13" s="10" t="str">
        <x:v>532 x 532</x:v>
      </x:c>
      <x:c r="M13" s="10" t="str">
        <x:v>Navy, blue, blush, lavender</x:v>
      </x:c>
      <x:c r="N13" s="10" t="str">
        <x:v>Preserve the existing CSS gradient. Export foreground separately with transparent background. Keep key UI within the central 80%.</x:v>
      </x:c>
      <x:c r="O13" s="10" t="str">
        <x:v>http://localhost:3000/files-and-documents#file-filters</x:v>
      </x:c>
    </x:row>
    <x:row r="14" ht="51" customHeight="1">
      <x:c r="A14" s="5" t="str">
        <x:v>P08-09</x:v>
      </x:c>
      <x:c r="B14" s="5" t="str">
        <x:v>Files &amp; Documents</x:v>
      </x:c>
      <x:c r="C14" s="5" t="str">
        <x:v>Feature detail</x:v>
      </x:c>
      <x:c r="D14" s="5" t="str">
        <x:v>Find a clearer starting point.</x:v>
      </x:c>
      <x:c r="E14" s="5" t="str">
        <x:v>A058</x:v>
      </x:c>
      <x:c r="F14" s="5" t="str">
        <x:v>A search field above a short list of matching files with relevant text excerpts.</x:v>
      </x:c>
      <x:c r="G14" s="5" t="str">
        <x:v>Rework</x:v>
      </x:c>
      <x:c r="H14" s="5" t="str">
        <x:f>'Production assets'!F63</x:f>
        <x:v>Not started</x:v>
      </x:c>
      <x:c r="I14" s="5" t="str">
        <x:v>Editable SVG/layers + 1200 x 1200 WebP</x:v>
      </x:c>
      <x:c r="J14" s="5" t="str">
        <x:v>Photo with layered UI</x:v>
      </x:c>
      <x:c r="K14" s="5" t="str">
        <x:v>/brand/feature-pages/storage/storage-03-library-search.webp
/brand/feature-pages/artwork/140-5116.svg</x:v>
      </x:c>
      <x:c r="L14" s="5" t="str">
        <x:v>580 x 580</x:v>
      </x:c>
      <x:c r="M14" s="5" t="str">
        <x:v>Navy, blue, blush, lavender</x:v>
      </x:c>
      <x:c r="N14" s="5" t="str">
        <x:v>Preserve the existing CSS gradient. Export foreground separately with transparent background. Keep key UI within the central 80%.</x:v>
      </x:c>
      <x:c r="O14" s="5" t="str">
        <x:v>http://localhost:3000/files-and-documents#library-search</x:v>
      </x:c>
    </x:row>
    <x:row r="15" ht="51" customHeight="1">
      <x:c r="A15" s="10" t="str">
        <x:v>P08-10</x:v>
      </x:c>
      <x:c r="B15" s="10" t="str">
        <x:v>Files &amp; Documents</x:v>
      </x:c>
      <x:c r="C15" s="10" t="str">
        <x:v>Feature detail</x:v>
      </x:c>
      <x:c r="D15" s="10" t="str">
        <x:v>Keep the details with the document.</x:v>
      </x:c>
      <x:c r="E15" s="10" t="str">
        <x:v>A059</x:v>
      </x:c>
      <x:c r="F15" s="10" t="str">
        <x:v>A document preview beside its owner, tags, source and linked workflow details.</x:v>
      </x:c>
      <x:c r="G15" s="10" t="str">
        <x:v>Rework</x:v>
      </x:c>
      <x:c r="H15" s="10" t="str">
        <x:f>'Production assets'!F64</x:f>
        <x:v>Not started</x:v>
      </x:c>
      <x:c r="I15" s="10" t="str">
        <x:v>Editable SVG/layers + 1200 x 1200 WebP</x:v>
      </x:c>
      <x:c r="J15" s="10" t="str">
        <x:v>Photo with layered UI</x:v>
      </x:c>
      <x:c r="K15" s="10" t="str">
        <x:v>/brand/feature-pages/storage/storage-04-file-details.webp
/brand/feature-pages/artwork/140-5166.svg</x:v>
      </x:c>
      <x:c r="L15" s="10" t="str">
        <x:v>532 x 532</x:v>
      </x:c>
      <x:c r="M15" s="10" t="str">
        <x:v>Navy, blue, blush, lavender</x:v>
      </x:c>
      <x:c r="N15" s="10" t="str">
        <x:v>Preserve the existing CSS gradient. Export foreground separately with transparent background. Keep key UI within the central 80%.</x:v>
      </x:c>
      <x:c r="O15" s="10" t="str">
        <x:v>http://localhost:3000/files-and-documents#file-details</x:v>
      </x:c>
    </x:row>
    <x:row r="16" ht="38" customHeight="1">
      <x:c r="A16" s="5" t="str">
        <x:v>P08-11</x:v>
      </x:c>
      <x:c r="B16" s="5" t="str">
        <x:v>Files &amp; Documents</x:v>
      </x:c>
      <x:c r="C16" s="5" t="str">
        <x:v>Related product thumbnail</x:v>
      </x:c>
      <x:c r="D16" s="5" t="str">
        <x:v>Platform</x:v>
      </x:c>
      <x:c r="E16" s="5" t="str">
        <x:v>A015</x:v>
      </x:c>
      <x:c r="F16" s="5" t="str">
        <x:v>A compact workspace overview linking agents, tools and shared knowledge.</x:v>
      </x:c>
      <x:c r="G16" s="5" t="str">
        <x:v>Create</x:v>
      </x:c>
      <x:c r="H16" s="5" t="str">
        <x:f>'Production assets'!F20</x:f>
        <x:v>Not started</x:v>
      </x:c>
      <x:c r="I16" s="5" t="str">
        <x:v>Editable SVG + 1200 x 1000 WebP</x:v>
      </x:c>
      <x:c r="J16" s="5" t="str">
        <x:v>Generic star on gradient</x:v>
      </x:c>
      <x:c r="K16" s="5" t="str">
        <x:v>/brand/calendly/assistant-hero.svg + star glyph</x:v>
      </x:c>
      <x:c r="L16" s="5" t="str">
        <x:v>227 x 189</x:v>
      </x:c>
      <x:c r="M16" s="5" t="str">
        <x:v>Ice blue, white, teal, deep green</x:v>
      </x:c>
      <x:c r="N16" s="5" t="str">
        <x:v>Create once and reuse across related-product cards and the Platform card rail. Keep the gradient separate.</x:v>
      </x:c>
      <x:c r="O16" s="5" t="str">
        <x:v>http://localhost:3000/files-and-documents</x:v>
      </x:c>
    </x:row>
    <x:row r="17" ht="38" customHeight="1">
      <x:c r="A17" s="10" t="str">
        <x:v>P08-12</x:v>
      </x:c>
      <x:c r="B17" s="10" t="str">
        <x:v>Files &amp; Documents</x:v>
      </x:c>
      <x:c r="C17" s="10" t="str">
        <x:v>Related product thumbnail</x:v>
      </x:c>
      <x:c r="D17" s="10" t="str">
        <x:v>Integrations</x:v>
      </x:c>
      <x:c r="E17" s="10" t="str">
        <x:v>A006</x:v>
      </x:c>
      <x:c r="F17" s="10" t="str">
        <x:v>A central Innflow node connected to a small set of tool tiles.</x:v>
      </x:c>
      <x:c r="G17" s="10" t="str">
        <x:v>Create</x:v>
      </x:c>
      <x:c r="H17" s="10" t="str">
        <x:f>'Production assets'!F11</x:f>
        <x:v>Not started</x:v>
      </x:c>
      <x:c r="I17" s="10" t="str">
        <x:v>Editable SVG + 1200 x 1000 WebP</x:v>
      </x:c>
      <x:c r="J17" s="10" t="str">
        <x:v>Generic star on gradient</x:v>
      </x:c>
      <x:c r="K17" s="10" t="str">
        <x:v>/brand/calendly/scheduling-hero.svg + star glyph</x:v>
      </x:c>
      <x:c r="L17" s="10" t="str">
        <x:v>227 x 189</x:v>
      </x:c>
      <x:c r="M17" s="10" t="str">
        <x:v>Sky blue, pale aqua, navy</x:v>
      </x:c>
      <x:c r="N17" s="10" t="str">
        <x:v>Create once and reuse across related-product cards and the Platform card rail. Keep the gradient separate.</x:v>
      </x:c>
      <x:c r="O17" s="10" t="str">
        <x:v>http://localhost:3000/files-and-documents</x:v>
      </x:c>
    </x:row>
    <x:row r="18" ht="38" customHeight="1">
      <x:c r="A18" s="5" t="str">
        <x:v>P08-13</x:v>
      </x:c>
      <x:c r="B18" s="5" t="str">
        <x:v>Files &amp; Documents</x:v>
      </x:c>
      <x:c r="C18" s="5" t="str">
        <x:v>Related product thumbnail</x:v>
      </x:c>
      <x:c r="D18" s="5" t="str">
        <x:v>Agentic Workflows</x:v>
      </x:c>
      <x:c r="E18" s="5" t="str">
        <x:v>A010</x:v>
      </x:c>
      <x:c r="F18" s="5" t="str">
        <x:v>A compact workflow canvas with trigger, branch and action nodes.</x:v>
      </x:c>
      <x:c r="G18" s="5" t="str">
        <x:v>Create</x:v>
      </x:c>
      <x:c r="H18" s="5" t="str">
        <x:f>'Production assets'!F15</x:f>
        <x:v>Not started</x:v>
      </x:c>
      <x:c r="I18" s="5" t="str">
        <x:v>Editable SVG + 1200 x 1000 WebP</x:v>
      </x:c>
      <x:c r="J18" s="5" t="str">
        <x:v>Generic star on gradient</x:v>
      </x:c>
      <x:c r="K18" s="5" t="str">
        <x:v>/brand/calendly/notetaker-hero.svg + star glyph</x:v>
      </x:c>
      <x:c r="L18" s="5" t="str">
        <x:v>227 x 189</x:v>
      </x:c>
      <x:c r="M18" s="5" t="str">
        <x:v>Navy, blue, blush, lavender</x:v>
      </x:c>
      <x:c r="N18" s="5" t="str">
        <x:v>Create once and reuse across related-product cards and the Platform card rail. Keep the gradient separate.</x:v>
      </x:c>
      <x:c r="O18" s="5" t="str">
        <x:v>http://localhost:3000/files-and-documents</x:v>
      </x:c>
    </x:row>
    <x:row r="19" ht="38" customHeight="1">
      <x:c r="A19" s="10" t="str">
        <x:v>P08-14</x:v>
      </x:c>
      <x:c r="B19" s="10" t="str">
        <x:v>Files &amp; Documents</x:v>
      </x:c>
      <x:c r="C19" s="10" t="str">
        <x:v>Related product thumbnail</x:v>
      </x:c>
      <x:c r="D19" s="10" t="str">
        <x:v>Agent OS</x:v>
      </x:c>
      <x:c r="E19" s="10" t="str">
        <x:v>A011</x:v>
      </x:c>
      <x:c r="F19" s="10" t="str">
        <x:v>A small orchestration graph connecting agents and shared memory.</x:v>
      </x:c>
      <x:c r="G19" s="10" t="str">
        <x:v>Create</x:v>
      </x:c>
      <x:c r="H19" s="10" t="str">
        <x:f>'Production assets'!F16</x:f>
        <x:v>Not started</x:v>
      </x:c>
      <x:c r="I19" s="10" t="str">
        <x:v>Editable SVG + 1200 x 1000 WebP</x:v>
      </x:c>
      <x:c r="J19" s="10" t="str">
        <x:v>Generic star on gradient</x:v>
      </x:c>
      <x:c r="K19" s="10" t="str">
        <x:v>/brand/calendly/contacts-hero.svg + star glyph</x:v>
      </x:c>
      <x:c r="L19" s="10" t="str">
        <x:v>227 x 189</x:v>
      </x:c>
      <x:c r="M19" s="10" t="str">
        <x:v>Cream, peach, pink, blue</x:v>
      </x:c>
      <x:c r="N19" s="10" t="str">
        <x:v>Create once and reuse across related-product cards and the Platform card rail. Keep the gradient separate.</x:v>
      </x:c>
      <x:c r="O19" s="10" t="str">
        <x:v>http://localhost:3000/files-and-documents</x:v>
      </x:c>
    </x:row>
    <x:row r="20" ht="38" customHeight="1">
      <x:c r="A20" s="5" t="str">
        <x:v>P08-15</x:v>
      </x:c>
      <x:c r="B20" s="5" t="str">
        <x:v>Files &amp; Documents</x:v>
      </x:c>
      <x:c r="C20" s="5" t="str">
        <x:v>Related product thumbnail</x:v>
      </x:c>
      <x:c r="D20" s="5" t="str">
        <x:v>AI Agents</x:v>
      </x:c>
      <x:c r="E20" s="5" t="str">
        <x:v>A012</x:v>
      </x:c>
      <x:c r="F20" s="5" t="str">
        <x:v>An agent task card with linked evidence and a proposed next action.</x:v>
      </x:c>
      <x:c r="G20" s="5" t="str">
        <x:v>Create</x:v>
      </x:c>
      <x:c r="H20" s="5" t="str">
        <x:f>'Production assets'!F17</x:f>
        <x:v>Not started</x:v>
      </x:c>
      <x:c r="I20" s="5" t="str">
        <x:v>Editable SVG + 1200 x 1000 WebP</x:v>
      </x:c>
      <x:c r="J20" s="5" t="str">
        <x:v>Generic star on gradient</x:v>
      </x:c>
      <x:c r="K20" s="5" t="str">
        <x:v>/brand/calendly/payments-hero.svg + star glyph</x:v>
      </x:c>
      <x:c r="L20" s="5" t="str">
        <x:v>227 x 189</x:v>
      </x:c>
      <x:c r="M20" s="5" t="str">
        <x:v>Pale mint, aqua, blue, navy</x:v>
      </x:c>
      <x:c r="N20" s="5" t="str">
        <x:v>Create once and reuse across related-product cards and the Platform card rail. Keep the gradient separate.</x:v>
      </x:c>
      <x:c r="O20" s="5" t="str">
        <x:v>http://localhost:3000/files-and-documents</x:v>
      </x:c>
    </x:row>
  </x:sheetData>
  <x:pageMargins left="0.7" right="0.7" top="0.75" bottom="0.75" header="0.3" footer="0.3"/>
  <x:tableParts count="1">
    <x:tablePart xmlns:r="http://schemas.openxmlformats.org/officeDocument/2006/relationships" r:id="R369761ac3e104794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4" hidden="0" customWidth="1"/>
    <x:col min="2" max="2" width="25" hidden="0" customWidth="1"/>
    <x:col min="3" max="3" width="24" hidden="0" customWidth="1"/>
    <x:col min="4" max="4" width="40" hidden="0" customWidth="1"/>
    <x:col min="5" max="5" width="12" hidden="0" customWidth="1"/>
    <x:col min="6" max="6" width="76" hidden="0" customWidth="1"/>
    <x:col min="7" max="7" width="14" hidden="0" customWidth="1"/>
    <x:col min="8" max="8" width="17" hidden="0" customWidth="1"/>
    <x:col min="9" max="9" width="40" hidden="0" customWidth="1"/>
    <x:col min="10" max="10" width="28" hidden="0" customWidth="1"/>
    <x:col min="11" max="11" width="65" hidden="0" customWidth="1"/>
    <x:col min="12" max="12" width="18" hidden="0" customWidth="1"/>
    <x:col min="13" max="13" width="30" hidden="0" customWidth="1"/>
    <x:col min="14" max="14" width="65" hidden="0" customWidth="1"/>
    <x:col min="15" max="15" width="6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>
      <x:c r="A2" s="2" t="str">
        <x:v>AI Website Builder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>
      <x:c r="A3" s="3" t="str">
        <x:v>/features/website | Contacts reference. Status links to Production assets.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30" customHeight="1">
      <x:c r="A5" s="9" t="str">
        <x:v>Placement ID</x:v>
      </x:c>
      <x:c r="B5" s="9" t="str">
        <x:v>Page</x:v>
      </x:c>
      <x:c r="C5" s="9" t="str">
        <x:v>Section</x:v>
      </x:c>
      <x:c r="D5" s="9" t="str">
        <x:v>Section title</x:v>
      </x:c>
      <x:c r="E5" s="9" t="str">
        <x:v>Asset ID</x:v>
      </x:c>
      <x:c r="F5" s="9" t="str">
        <x:v>Recommended artwork</x:v>
      </x:c>
      <x:c r="G5" s="9" t="str">
        <x:v>Action</x:v>
      </x:c>
      <x:c r="H5" s="9" t="str">
        <x:v>Status</x:v>
      </x:c>
      <x:c r="I5" s="9" t="str">
        <x:v>Recommended deliverable</x:v>
      </x:c>
      <x:c r="J5" s="9" t="str">
        <x:v>Current artwork</x:v>
      </x:c>
      <x:c r="K5" s="9" t="str">
        <x:v>Current sources</x:v>
      </x:c>
      <x:c r="L5" s="9" t="str">
        <x:v>Desktop size (px)</x:v>
      </x:c>
      <x:c r="M5" s="9" t="str">
        <x:v>Gradient palette</x:v>
      </x:c>
      <x:c r="N5" s="9" t="str">
        <x:v>Reuse and crop notes</x:v>
      </x:c>
      <x:c r="O5" s="9" t="str">
        <x:v>Page reference</x:v>
      </x:c>
    </x:row>
    <x:row r="6" ht="38" customHeight="1">
      <x:c r="A6" s="5" t="str">
        <x:v>P09-01</x:v>
      </x:c>
      <x:c r="B6" s="5" t="str">
        <x:v>AI Website Builder</x:v>
      </x:c>
      <x:c r="C6" s="5" t="str">
        <x:v>Hero background</x:v>
      </x:c>
      <x:c r="D6" s="5" t="str">
        <x:v>Give your properties a place online.</x:v>
      </x:c>
      <x:c r="E6" s="5" t="str">
        <x:v>A025</x:v>
      </x:c>
      <x:c r="F6" s="5" t="str">
        <x:v>Reuse the existing Paper SVG as a separate background layer. No new background required.</x:v>
      </x:c>
      <x:c r="G6" s="5" t="str">
        <x:v>Reuse</x:v>
      </x:c>
      <x:c r="H6" s="5" t="str">
        <x:f>'Production assets'!F30</x:f>
        <x:v>Existing</x:v>
      </x:c>
      <x:c r="I6" s="5" t="str">
        <x:v>Existing scalable SVG</x:v>
      </x:c>
      <x:c r="J6" s="5" t="str">
        <x:v>Existing background</x:v>
      </x:c>
      <x:c r="K6" s="5" t="str">
        <x:v>/brand/calendly/contacts-hero.svg</x:v>
      </x:c>
      <x:c r="L6" s="5" t="str">
        <x:v>1387 x 776</x:v>
      </x:c>
      <x:c r="M6" s="5" t="str">
        <x:v>Cream, peach, pink, blue</x:v>
      </x:c>
      <x:c r="N6" s="5" t="str">
        <x:v>Shared by every page using this style.</x:v>
      </x:c>
      <x:c r="O6" s="5" t="str">
        <x:v>http://localhost:3000/features/website</x:v>
      </x:c>
    </x:row>
    <x:row r="7" ht="51" customHeight="1">
      <x:c r="A7" s="10" t="str">
        <x:v>P09-02</x:v>
      </x:c>
      <x:c r="B7" s="10" t="str">
        <x:v>AI Website Builder</x:v>
      </x:c>
      <x:c r="C7" s="10" t="str">
        <x:v>Capability overview</x:v>
      </x:c>
      <x:c r="D7" s="10" t="str">
        <x:v>Website Builder</x:v>
      </x:c>
      <x:c r="E7" s="10" t="str">
        <x:v>A060</x:v>
      </x:c>
      <x:c r="F7" s="10" t="str">
        <x:v>A website editor with page sections, a property preview and a simple content settings panel.</x:v>
      </x:c>
      <x:c r="G7" s="10" t="str">
        <x:v>Rework</x:v>
      </x:c>
      <x:c r="H7" s="10" t="str">
        <x:f>'Production assets'!F65</x:f>
        <x:v>Not started</x:v>
      </x:c>
      <x:c r="I7" s="10" t="str">
        <x:v>Editable SVG/layers + 1200 x 1200 WebP</x:v>
      </x:c>
      <x:c r="J7" s="10" t="str">
        <x:v>Photo with layered UI</x:v>
      </x:c>
      <x:c r="K7" s="10" t="str">
        <x:v>/brand/feature-pages/websites/websites-01-website-builder.webp
/brand/feature-pages/artwork/146-5284.svg</x:v>
      </x:c>
      <x:c r="L7" s="10" t="str">
        <x:v>580 x 580</x:v>
      </x:c>
      <x:c r="M7" s="10" t="str">
        <x:v>Cream, peach, pink, blue</x:v>
      </x:c>
      <x:c r="N7" s="10" t="str">
        <x:v>Preserve the existing CSS gradient. Export foreground separately with transparent background. Keep key UI within the central 80%. Reuses the first feature detail artwork.</x:v>
      </x:c>
      <x:c r="O7" s="10" t="str">
        <x:v>http://localhost:3000/features/website#website-builder</x:v>
      </x:c>
    </x:row>
    <x:row r="8" ht="51" customHeight="1">
      <x:c r="A8" s="5" t="str">
        <x:v>P09-03</x:v>
      </x:c>
      <x:c r="B8" s="5" t="str">
        <x:v>AI Website Builder</x:v>
      </x:c>
      <x:c r="C8" s="5" t="str">
        <x:v>Feature card</x:v>
      </x:c>
      <x:c r="D8" s="5" t="str">
        <x:v>A clear first impression</x:v>
      </x:c>
      <x:c r="E8" s="5" t="str">
        <x:v>A061</x:v>
      </x:c>
      <x:c r="F8" s="5" t="str">
        <x:v>A polished property website preview shown in desktop and mobile frames.</x:v>
      </x:c>
      <x:c r="G8" s="5" t="str">
        <x:v>Create</x:v>
      </x:c>
      <x:c r="H8" s="5" t="str">
        <x:f>'Production assets'!F66</x:f>
        <x:v>Not started</x:v>
      </x:c>
      <x:c r="I8" s="5" t="str">
        <x:v>1200 x 1000 WebP crop of shared master</x:v>
      </x:c>
      <x:c r="J8" s="5" t="str">
        <x:v>Text placeholder</x:v>
      </x:c>
      <x:c r="K8" s="5" t="str">
        <x:v>CSS gradient + live UI</x:v>
      </x:c>
      <x:c r="L8" s="5" t="str">
        <x:v>320 x 267</x:v>
      </x:c>
      <x:c r="M8" s="5" t="str">
        <x:v>Cream, peach, pink, blue</x:v>
      </x:c>
      <x:c r="N8" s="5" t="str">
        <x:v>Preserve the existing CSS gradient. Export foreground separately with transparent background. Keep key UI within the central 80%.</x:v>
      </x:c>
      <x:c r="O8" s="5" t="str">
        <x:v>http://localhost:3000/features/website</x:v>
      </x:c>
    </x:row>
    <x:row r="9" ht="51" customHeight="1">
      <x:c r="A9" s="10" t="str">
        <x:v>P09-04</x:v>
      </x:c>
      <x:c r="B9" s="10" t="str">
        <x:v>AI Website Builder</x:v>
      </x:c>
      <x:c r="C9" s="10" t="str">
        <x:v>Feature card</x:v>
      </x:c>
      <x:c r="D9" s="10" t="str">
        <x:v>Connected content</x:v>
      </x:c>
      <x:c r="E9" s="10" t="str">
        <x:v>A062</x:v>
      </x:c>
      <x:c r="F9" s="10" t="str">
        <x:v>A property record linked to the corresponding website listing card.</x:v>
      </x:c>
      <x:c r="G9" s="10" t="str">
        <x:v>Create</x:v>
      </x:c>
      <x:c r="H9" s="10" t="str">
        <x:f>'Production assets'!F67</x:f>
        <x:v>Not started</x:v>
      </x:c>
      <x:c r="I9" s="10" t="str">
        <x:v>1200 x 1000 WebP crop of shared master</x:v>
      </x:c>
      <x:c r="J9" s="10" t="str">
        <x:v>Text placeholder</x:v>
      </x:c>
      <x:c r="K9" s="10" t="str">
        <x:v>CSS gradient + live UI</x:v>
      </x:c>
      <x:c r="L9" s="10" t="str">
        <x:v>320 x 267</x:v>
      </x:c>
      <x:c r="M9" s="10" t="str">
        <x:v>Cream, peach, pink, blue</x:v>
      </x:c>
      <x:c r="N9" s="10" t="str">
        <x:v>Preserve the existing CSS gradient. Export foreground separately with transparent background. Keep key UI within the central 80%.</x:v>
      </x:c>
      <x:c r="O9" s="10" t="str">
        <x:v>http://localhost:3000/features/website</x:v>
      </x:c>
    </x:row>
    <x:row r="10" ht="51" customHeight="1">
      <x:c r="A10" s="5" t="str">
        <x:v>P09-05</x:v>
      </x:c>
      <x:c r="B10" s="5" t="str">
        <x:v>AI Website Builder</x:v>
      </x:c>
      <x:c r="C10" s="5" t="str">
        <x:v>Feature card</x:v>
      </x:c>
      <x:c r="D10" s="5" t="str">
        <x:v>Familiar access</x:v>
      </x:c>
      <x:c r="E10" s="5" t="str">
        <x:v>A063</x:v>
      </x:c>
      <x:c r="F10" s="5" t="str">
        <x:v>A public website entry point connecting to a resident account panel.</x:v>
      </x:c>
      <x:c r="G10" s="5" t="str">
        <x:v>Create</x:v>
      </x:c>
      <x:c r="H10" s="5" t="str">
        <x:f>'Production assets'!F68</x:f>
        <x:v>Not started</x:v>
      </x:c>
      <x:c r="I10" s="5" t="str">
        <x:v>1200 x 1000 WebP crop of shared master</x:v>
      </x:c>
      <x:c r="J10" s="5" t="str">
        <x:v>Text placeholder</x:v>
      </x:c>
      <x:c r="K10" s="5" t="str">
        <x:v>CSS gradient + live UI</x:v>
      </x:c>
      <x:c r="L10" s="5" t="str">
        <x:v>320 x 267</x:v>
      </x:c>
      <x:c r="M10" s="5" t="str">
        <x:v>Cream, peach, pink, blue</x:v>
      </x:c>
      <x:c r="N10" s="5" t="str">
        <x:v>Preserve the existing CSS gradient. Export foreground separately with transparent background. Keep key UI within the central 80%.</x:v>
      </x:c>
      <x:c r="O10" s="5" t="str">
        <x:v>http://localhost:3000/features/website</x:v>
      </x:c>
    </x:row>
    <x:row r="11" ht="38" customHeight="1">
      <x:c r="A11" s="10" t="str">
        <x:v>P09-06</x:v>
      </x:c>
      <x:c r="B11" s="10" t="str">
        <x:v>AI Website Builder</x:v>
      </x:c>
      <x:c r="C11" s="10" t="str">
        <x:v>Product overview</x:v>
      </x:c>
      <x:c r="D11" s="10" t="str">
        <x:v>Connect the website to the work behind it.</x:v>
      </x:c>
      <x:c r="E11" s="10" t="str">
        <x:v>A064</x:v>
      </x:c>
      <x:c r="F11" s="10" t="str">
        <x:v>A wide website builder composition with desktop preview, mobile preview and content controls.</x:v>
      </x:c>
      <x:c r="G11" s="10" t="str">
        <x:v>Rework</x:v>
      </x:c>
      <x:c r="H11" s="10" t="str">
        <x:f>'Production assets'!F69</x:f>
        <x:v>Not started</x:v>
      </x:c>
      <x:c r="I11" s="10" t="str">
        <x:v>Editable layers + 1920 x 620 WebP</x:v>
      </x:c>
      <x:c r="J11" s="10" t="str">
        <x:v>Existing overview photo</x:v>
      </x:c>
      <x:c r="K11" s="10" t="str">
        <x:v>/brand/feature-pages/websites/websites-hero.webp</x:v>
      </x:c>
      <x:c r="L11" s="10" t="str">
        <x:v>960 x 309</x:v>
      </x:c>
      <x:c r="M11" s="10" t="str">
        <x:v>Cream, peach, pink, blue</x:v>
      </x:c>
      <x:c r="N11" s="10" t="str">
        <x:v>Replace the current overview photo with a product-led composition. Keep its wide framing.</x:v>
      </x:c>
      <x:c r="O11" s="10" t="str">
        <x:v>http://localhost:3000/features/website</x:v>
      </x:c>
    </x:row>
    <x:row r="12" ht="51" customHeight="1">
      <x:c r="A12" s="5" t="str">
        <x:v>P09-07</x:v>
      </x:c>
      <x:c r="B12" s="5" t="str">
        <x:v>AI Website Builder</x:v>
      </x:c>
      <x:c r="C12" s="5" t="str">
        <x:v>Feature detail</x:v>
      </x:c>
      <x:c r="D12" s="5" t="str">
        <x:v>Start with a website that fits.</x:v>
      </x:c>
      <x:c r="E12" s="5" t="str">
        <x:v>A060</x:v>
      </x:c>
      <x:c r="F12" s="5" t="str">
        <x:v>A website editor with page sections, a property preview and a simple content settings panel.</x:v>
      </x:c>
      <x:c r="G12" s="5" t="str">
        <x:v>Rework</x:v>
      </x:c>
      <x:c r="H12" s="5" t="str">
        <x:f>'Production assets'!F65</x:f>
        <x:v>Not started</x:v>
      </x:c>
      <x:c r="I12" s="5" t="str">
        <x:v>Editable SVG/layers + 1200 x 1200 WebP</x:v>
      </x:c>
      <x:c r="J12" s="5" t="str">
        <x:v>Photo with layered UI</x:v>
      </x:c>
      <x:c r="K12" s="5" t="str">
        <x:v>/brand/feature-pages/websites/websites-01-website-builder.webp
/brand/feature-pages/artwork/146-5284.svg</x:v>
      </x:c>
      <x:c r="L12" s="5" t="str">
        <x:v>580 x 580</x:v>
      </x:c>
      <x:c r="M12" s="5" t="str">
        <x:v>Cream, peach, pink, blue</x:v>
      </x:c>
      <x:c r="N12" s="5" t="str">
        <x:v>Preserve the existing CSS gradient. Export foreground separately with transparent background. Keep key UI within the central 80%.</x:v>
      </x:c>
      <x:c r="O12" s="5" t="str">
        <x:v>http://localhost:3000/features/website#website-builder</x:v>
      </x:c>
    </x:row>
    <x:row r="13" ht="51" customHeight="1">
      <x:c r="A13" s="10" t="str">
        <x:v>P09-08</x:v>
      </x:c>
      <x:c r="B13" s="10" t="str">
        <x:v>AI Website Builder</x:v>
      </x:c>
      <x:c r="C13" s="10" t="str">
        <x:v>Feature detail</x:v>
      </x:c>
      <x:c r="D13" s="10" t="str">
        <x:v>Choose a useful foundation.</x:v>
      </x:c>
      <x:c r="E13" s="10" t="str">
        <x:v>A065</x:v>
      </x:c>
      <x:c r="F13" s="10" t="str">
        <x:v>A grid of website template thumbnails with one selected design and its mobile preview.</x:v>
      </x:c>
      <x:c r="G13" s="10" t="str">
        <x:v>Rework</x:v>
      </x:c>
      <x:c r="H13" s="10" t="str">
        <x:f>'Production assets'!F70</x:f>
        <x:v>Not started</x:v>
      </x:c>
      <x:c r="I13" s="10" t="str">
        <x:v>Editable SVG/layers + 1200 x 1200 WebP</x:v>
      </x:c>
      <x:c r="J13" s="10" t="str">
        <x:v>Photo with layered UI</x:v>
      </x:c>
      <x:c r="K13" s="10" t="str">
        <x:v>/brand/feature-pages/websites/websites-02-template-gallery.webp
/brand/feature-pages/artwork/146-5311.svg</x:v>
      </x:c>
      <x:c r="L13" s="10" t="str">
        <x:v>532 x 532</x:v>
      </x:c>
      <x:c r="M13" s="10" t="str">
        <x:v>Cream, peach, pink, blue</x:v>
      </x:c>
      <x:c r="N13" s="10" t="str">
        <x:v>Preserve the existing CSS gradient. Export foreground separately with transparent background. Keep key UI within the central 80%.</x:v>
      </x:c>
      <x:c r="O13" s="10" t="str">
        <x:v>http://localhost:3000/features/website#template-gallery</x:v>
      </x:c>
    </x:row>
    <x:row r="14" ht="51" customHeight="1">
      <x:c r="A14" s="5" t="str">
        <x:v>P09-09</x:v>
      </x:c>
      <x:c r="B14" s="5" t="str">
        <x:v>AI Website Builder</x:v>
      </x:c>
      <x:c r="C14" s="5" t="str">
        <x:v>Feature detail</x:v>
      </x:c>
      <x:c r="D14" s="5" t="str">
        <x:v>Keep resident access close by.</x:v>
      </x:c>
      <x:c r="E14" s="5" t="str">
        <x:v>A066</x:v>
      </x:c>
      <x:c r="F14" s="5" t="str">
        <x:v>A website navigation item opening a resident portal sign-in panel and account preview.</x:v>
      </x:c>
      <x:c r="G14" s="5" t="str">
        <x:v>Rework</x:v>
      </x:c>
      <x:c r="H14" s="5" t="str">
        <x:f>'Production assets'!F71</x:f>
        <x:v>Not started</x:v>
      </x:c>
      <x:c r="I14" s="5" t="str">
        <x:v>Editable SVG/layers + 1200 x 1200 WebP</x:v>
      </x:c>
      <x:c r="J14" s="5" t="str">
        <x:v>Photo with layered UI</x:v>
      </x:c>
      <x:c r="K14" s="5" t="str">
        <x:v>/brand/feature-pages/websites/websites-03-resident-access.webp
/brand/feature-pages/artwork/146-5380.svg</x:v>
      </x:c>
      <x:c r="L14" s="5" t="str">
        <x:v>580 x 580</x:v>
      </x:c>
      <x:c r="M14" s="5" t="str">
        <x:v>Cream, peach, pink, blue</x:v>
      </x:c>
      <x:c r="N14" s="5" t="str">
        <x:v>Preserve the existing CSS gradient. Export foreground separately with transparent background. Keep key UI within the central 80%.</x:v>
      </x:c>
      <x:c r="O14" s="5" t="str">
        <x:v>http://localhost:3000/features/website#resident-access</x:v>
      </x:c>
    </x:row>
    <x:row r="15" ht="51" customHeight="1">
      <x:c r="A15" s="10" t="str">
        <x:v>P09-10</x:v>
      </x:c>
      <x:c r="B15" s="10" t="str">
        <x:v>AI Website Builder</x:v>
      </x:c>
      <x:c r="C15" s="10" t="str">
        <x:v>Feature detail</x:v>
      </x:c>
      <x:c r="D15" s="10" t="str">
        <x:v>Put available properties in view.</x:v>
      </x:c>
      <x:c r="E15" s="10" t="str">
        <x:v>A067</x:v>
      </x:c>
      <x:c r="F15" s="10" t="str">
        <x:v>A property listing grid with availability filters and a selected property detail card.</x:v>
      </x:c>
      <x:c r="G15" s="10" t="str">
        <x:v>Rework</x:v>
      </x:c>
      <x:c r="H15" s="10" t="str">
        <x:f>'Production assets'!F72</x:f>
        <x:v>Not started</x:v>
      </x:c>
      <x:c r="I15" s="10" t="str">
        <x:v>Editable SVG/layers + 1200 x 1200 WebP</x:v>
      </x:c>
      <x:c r="J15" s="10" t="str">
        <x:v>Photo with layered UI</x:v>
      </x:c>
      <x:c r="K15" s="10" t="str">
        <x:v>/brand/feature-pages/websites/websites-04-property-listings.webp
/brand/feature-pages/artwork/146-5417.svg</x:v>
      </x:c>
      <x:c r="L15" s="10" t="str">
        <x:v>532 x 532</x:v>
      </x:c>
      <x:c r="M15" s="10" t="str">
        <x:v>Cream, peach, pink, blue</x:v>
      </x:c>
      <x:c r="N15" s="10" t="str">
        <x:v>Preserve the existing CSS gradient. Export foreground separately with transparent background. Keep key UI within the central 80%.</x:v>
      </x:c>
      <x:c r="O15" s="10" t="str">
        <x:v>http://localhost:3000/features/website#property-listings</x:v>
      </x:c>
    </x:row>
    <x:row r="16" ht="38" customHeight="1">
      <x:c r="A16" s="5" t="str">
        <x:v>P09-11</x:v>
      </x:c>
      <x:c r="B16" s="5" t="str">
        <x:v>AI Website Builder</x:v>
      </x:c>
      <x:c r="C16" s="5" t="str">
        <x:v>Related product thumbnail</x:v>
      </x:c>
      <x:c r="D16" s="5" t="str">
        <x:v>Platform</x:v>
      </x:c>
      <x:c r="E16" s="5" t="str">
        <x:v>A015</x:v>
      </x:c>
      <x:c r="F16" s="5" t="str">
        <x:v>A compact workspace overview linking agents, tools and shared knowledge.</x:v>
      </x:c>
      <x:c r="G16" s="5" t="str">
        <x:v>Create</x:v>
      </x:c>
      <x:c r="H16" s="5" t="str">
        <x:f>'Production assets'!F20</x:f>
        <x:v>Not started</x:v>
      </x:c>
      <x:c r="I16" s="5" t="str">
        <x:v>Editable SVG + 1200 x 1000 WebP</x:v>
      </x:c>
      <x:c r="J16" s="5" t="str">
        <x:v>Generic star on gradient</x:v>
      </x:c>
      <x:c r="K16" s="5" t="str">
        <x:v>/brand/calendly/assistant-hero.svg + star glyph</x:v>
      </x:c>
      <x:c r="L16" s="5" t="str">
        <x:v>227 x 189</x:v>
      </x:c>
      <x:c r="M16" s="5" t="str">
        <x:v>Ice blue, white, teal, deep green</x:v>
      </x:c>
      <x:c r="N16" s="5" t="str">
        <x:v>Create once and reuse across related-product cards and the Platform card rail. Keep the gradient separate.</x:v>
      </x:c>
      <x:c r="O16" s="5" t="str">
        <x:v>http://localhost:3000/features/website</x:v>
      </x:c>
    </x:row>
    <x:row r="17" ht="38" customHeight="1">
      <x:c r="A17" s="10" t="str">
        <x:v>P09-12</x:v>
      </x:c>
      <x:c r="B17" s="10" t="str">
        <x:v>AI Website Builder</x:v>
      </x:c>
      <x:c r="C17" s="10" t="str">
        <x:v>Related product thumbnail</x:v>
      </x:c>
      <x:c r="D17" s="10" t="str">
        <x:v>Integrations</x:v>
      </x:c>
      <x:c r="E17" s="10" t="str">
        <x:v>A006</x:v>
      </x:c>
      <x:c r="F17" s="10" t="str">
        <x:v>A central Innflow node connected to a small set of tool tiles.</x:v>
      </x:c>
      <x:c r="G17" s="10" t="str">
        <x:v>Create</x:v>
      </x:c>
      <x:c r="H17" s="10" t="str">
        <x:f>'Production assets'!F11</x:f>
        <x:v>Not started</x:v>
      </x:c>
      <x:c r="I17" s="10" t="str">
        <x:v>Editable SVG + 1200 x 1000 WebP</x:v>
      </x:c>
      <x:c r="J17" s="10" t="str">
        <x:v>Generic star on gradient</x:v>
      </x:c>
      <x:c r="K17" s="10" t="str">
        <x:v>/brand/calendly/scheduling-hero.svg + star glyph</x:v>
      </x:c>
      <x:c r="L17" s="10" t="str">
        <x:v>227 x 189</x:v>
      </x:c>
      <x:c r="M17" s="10" t="str">
        <x:v>Sky blue, pale aqua, navy</x:v>
      </x:c>
      <x:c r="N17" s="10" t="str">
        <x:v>Create once and reuse across related-product cards and the Platform card rail. Keep the gradient separate.</x:v>
      </x:c>
      <x:c r="O17" s="10" t="str">
        <x:v>http://localhost:3000/features/website</x:v>
      </x:c>
    </x:row>
    <x:row r="18" ht="38" customHeight="1">
      <x:c r="A18" s="5" t="str">
        <x:v>P09-13</x:v>
      </x:c>
      <x:c r="B18" s="5" t="str">
        <x:v>AI Website Builder</x:v>
      </x:c>
      <x:c r="C18" s="5" t="str">
        <x:v>Related product thumbnail</x:v>
      </x:c>
      <x:c r="D18" s="5" t="str">
        <x:v>Agentic Workflows</x:v>
      </x:c>
      <x:c r="E18" s="5" t="str">
        <x:v>A010</x:v>
      </x:c>
      <x:c r="F18" s="5" t="str">
        <x:v>A compact workflow canvas with trigger, branch and action nodes.</x:v>
      </x:c>
      <x:c r="G18" s="5" t="str">
        <x:v>Create</x:v>
      </x:c>
      <x:c r="H18" s="5" t="str">
        <x:f>'Production assets'!F15</x:f>
        <x:v>Not started</x:v>
      </x:c>
      <x:c r="I18" s="5" t="str">
        <x:v>Editable SVG + 1200 x 1000 WebP</x:v>
      </x:c>
      <x:c r="J18" s="5" t="str">
        <x:v>Generic star on gradient</x:v>
      </x:c>
      <x:c r="K18" s="5" t="str">
        <x:v>/brand/calendly/notetaker-hero.svg + star glyph</x:v>
      </x:c>
      <x:c r="L18" s="5" t="str">
        <x:v>227 x 189</x:v>
      </x:c>
      <x:c r="M18" s="5" t="str">
        <x:v>Navy, blue, blush, lavender</x:v>
      </x:c>
      <x:c r="N18" s="5" t="str">
        <x:v>Create once and reuse across related-product cards and the Platform card rail. Keep the gradient separate.</x:v>
      </x:c>
      <x:c r="O18" s="5" t="str">
        <x:v>http://localhost:3000/features/website</x:v>
      </x:c>
    </x:row>
    <x:row r="19" ht="38" customHeight="1">
      <x:c r="A19" s="10" t="str">
        <x:v>P09-14</x:v>
      </x:c>
      <x:c r="B19" s="10" t="str">
        <x:v>AI Website Builder</x:v>
      </x:c>
      <x:c r="C19" s="10" t="str">
        <x:v>Related product thumbnail</x:v>
      </x:c>
      <x:c r="D19" s="10" t="str">
        <x:v>Agent OS</x:v>
      </x:c>
      <x:c r="E19" s="10" t="str">
        <x:v>A011</x:v>
      </x:c>
      <x:c r="F19" s="10" t="str">
        <x:v>A small orchestration graph connecting agents and shared memory.</x:v>
      </x:c>
      <x:c r="G19" s="10" t="str">
        <x:v>Create</x:v>
      </x:c>
      <x:c r="H19" s="10" t="str">
        <x:f>'Production assets'!F16</x:f>
        <x:v>Not started</x:v>
      </x:c>
      <x:c r="I19" s="10" t="str">
        <x:v>Editable SVG + 1200 x 1000 WebP</x:v>
      </x:c>
      <x:c r="J19" s="10" t="str">
        <x:v>Generic star on gradient</x:v>
      </x:c>
      <x:c r="K19" s="10" t="str">
        <x:v>/brand/calendly/contacts-hero.svg + star glyph</x:v>
      </x:c>
      <x:c r="L19" s="10" t="str">
        <x:v>227 x 189</x:v>
      </x:c>
      <x:c r="M19" s="10" t="str">
        <x:v>Cream, peach, pink, blue</x:v>
      </x:c>
      <x:c r="N19" s="10" t="str">
        <x:v>Create once and reuse across related-product cards and the Platform card rail. Keep the gradient separate.</x:v>
      </x:c>
      <x:c r="O19" s="10" t="str">
        <x:v>http://localhost:3000/features/website</x:v>
      </x:c>
    </x:row>
    <x:row r="20" ht="38" customHeight="1">
      <x:c r="A20" s="5" t="str">
        <x:v>P09-15</x:v>
      </x:c>
      <x:c r="B20" s="5" t="str">
        <x:v>AI Website Builder</x:v>
      </x:c>
      <x:c r="C20" s="5" t="str">
        <x:v>Related product thumbnail</x:v>
      </x:c>
      <x:c r="D20" s="5" t="str">
        <x:v>AI Agents</x:v>
      </x:c>
      <x:c r="E20" s="5" t="str">
        <x:v>A012</x:v>
      </x:c>
      <x:c r="F20" s="5" t="str">
        <x:v>An agent task card with linked evidence and a proposed next action.</x:v>
      </x:c>
      <x:c r="G20" s="5" t="str">
        <x:v>Create</x:v>
      </x:c>
      <x:c r="H20" s="5" t="str">
        <x:f>'Production assets'!F17</x:f>
        <x:v>Not started</x:v>
      </x:c>
      <x:c r="I20" s="5" t="str">
        <x:v>Editable SVG + 1200 x 1000 WebP</x:v>
      </x:c>
      <x:c r="J20" s="5" t="str">
        <x:v>Generic star on gradient</x:v>
      </x:c>
      <x:c r="K20" s="5" t="str">
        <x:v>/brand/calendly/payments-hero.svg + star glyph</x:v>
      </x:c>
      <x:c r="L20" s="5" t="str">
        <x:v>227 x 189</x:v>
      </x:c>
      <x:c r="M20" s="5" t="str">
        <x:v>Pale mint, aqua, blue, navy</x:v>
      </x:c>
      <x:c r="N20" s="5" t="str">
        <x:v>Create once and reuse across related-product cards and the Platform card rail. Keep the gradient separate.</x:v>
      </x:c>
      <x:c r="O20" s="5" t="str">
        <x:v>http://localhost:3000/features/website</x:v>
      </x:c>
    </x:row>
  </x:sheetData>
  <x:pageMargins left="0.7" right="0.7" top="0.75" bottom="0.75" header="0.3" footer="0.3"/>
  <x:tableParts count="1">
    <x:tablePart xmlns:r="http://schemas.openxmlformats.org/officeDocument/2006/relationships" r:id="Rf9caa0490c6f4ea1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4" hidden="0" customWidth="1"/>
    <x:col min="2" max="2" width="25" hidden="0" customWidth="1"/>
    <x:col min="3" max="3" width="24" hidden="0" customWidth="1"/>
    <x:col min="4" max="4" width="40" hidden="0" customWidth="1"/>
    <x:col min="5" max="5" width="12" hidden="0" customWidth="1"/>
    <x:col min="6" max="6" width="76" hidden="0" customWidth="1"/>
    <x:col min="7" max="7" width="14" hidden="0" customWidth="1"/>
    <x:col min="8" max="8" width="17" hidden="0" customWidth="1"/>
    <x:col min="9" max="9" width="40" hidden="0" customWidth="1"/>
    <x:col min="10" max="10" width="28" hidden="0" customWidth="1"/>
    <x:col min="11" max="11" width="65" hidden="0" customWidth="1"/>
    <x:col min="12" max="12" width="18" hidden="0" customWidth="1"/>
    <x:col min="13" max="13" width="30" hidden="0" customWidth="1"/>
    <x:col min="14" max="14" width="65" hidden="0" customWidth="1"/>
    <x:col min="15" max="15" width="6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>
      <x:c r="A2" s="2" t="str">
        <x:v>Databases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>
      <x:c r="A3" s="3" t="str">
        <x:v>/products/databases | Payments reference. Status links to Production assets.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30" customHeight="1">
      <x:c r="A5" s="9" t="str">
        <x:v>Placement ID</x:v>
      </x:c>
      <x:c r="B5" s="9" t="str">
        <x:v>Page</x:v>
      </x:c>
      <x:c r="C5" s="9" t="str">
        <x:v>Section</x:v>
      </x:c>
      <x:c r="D5" s="9" t="str">
        <x:v>Section title</x:v>
      </x:c>
      <x:c r="E5" s="9" t="str">
        <x:v>Asset ID</x:v>
      </x:c>
      <x:c r="F5" s="9" t="str">
        <x:v>Recommended artwork</x:v>
      </x:c>
      <x:c r="G5" s="9" t="str">
        <x:v>Action</x:v>
      </x:c>
      <x:c r="H5" s="9" t="str">
        <x:v>Status</x:v>
      </x:c>
      <x:c r="I5" s="9" t="str">
        <x:v>Recommended deliverable</x:v>
      </x:c>
      <x:c r="J5" s="9" t="str">
        <x:v>Current artwork</x:v>
      </x:c>
      <x:c r="K5" s="9" t="str">
        <x:v>Current sources</x:v>
      </x:c>
      <x:c r="L5" s="9" t="str">
        <x:v>Desktop size (px)</x:v>
      </x:c>
      <x:c r="M5" s="9" t="str">
        <x:v>Gradient palette</x:v>
      </x:c>
      <x:c r="N5" s="9" t="str">
        <x:v>Reuse and crop notes</x:v>
      </x:c>
      <x:c r="O5" s="9" t="str">
        <x:v>Page reference</x:v>
      </x:c>
    </x:row>
    <x:row r="6" ht="38" customHeight="1">
      <x:c r="A6" s="5" t="str">
        <x:v>P10-01</x:v>
      </x:c>
      <x:c r="B6" s="5" t="str">
        <x:v>Databases</x:v>
      </x:c>
      <x:c r="C6" s="5" t="str">
        <x:v>Hero background</x:v>
      </x:c>
      <x:c r="D6" s="5" t="str">
        <x:v>Your property knowledge, within reach.</x:v>
      </x:c>
      <x:c r="E6" s="5" t="str">
        <x:v>A034</x:v>
      </x:c>
      <x:c r="F6" s="5" t="str">
        <x:v>Reuse the existing Paper SVG as a separate background layer. No new background required.</x:v>
      </x:c>
      <x:c r="G6" s="5" t="str">
        <x:v>Reuse</x:v>
      </x:c>
      <x:c r="H6" s="5" t="str">
        <x:f>'Production assets'!F39</x:f>
        <x:v>Existing</x:v>
      </x:c>
      <x:c r="I6" s="5" t="str">
        <x:v>Existing scalable SVG</x:v>
      </x:c>
      <x:c r="J6" s="5" t="str">
        <x:v>Existing background</x:v>
      </x:c>
      <x:c r="K6" s="5" t="str">
        <x:v>/brand/calendly/payments-hero.svg</x:v>
      </x:c>
      <x:c r="L6" s="5" t="str">
        <x:v>1387 x 776</x:v>
      </x:c>
      <x:c r="M6" s="5" t="str">
        <x:v>Pale mint, aqua, blue, navy</x:v>
      </x:c>
      <x:c r="N6" s="5" t="str">
        <x:v>Shared by every page using this style.</x:v>
      </x:c>
      <x:c r="O6" s="5" t="str">
        <x:v>http://localhost:3000/products/databases</x:v>
      </x:c>
    </x:row>
    <x:row r="7" ht="77" customHeight="1">
      <x:c r="A7" s="10" t="str">
        <x:v>P10-02</x:v>
      </x:c>
      <x:c r="B7" s="10" t="str">
        <x:v>Databases</x:v>
      </x:c>
      <x:c r="C7" s="10" t="str">
        <x:v>Capability overview</x:v>
      </x:c>
      <x:c r="D7" s="10" t="str">
        <x:v>Agentic RAG</x:v>
      </x:c>
      <x:c r="E7" s="10" t="str">
        <x:v>A068</x:v>
      </x:c>
      <x:c r="F7" s="10" t="str">
        <x:v>A question retrieving relevant passages from documents, with source citations attached to the answer.</x:v>
      </x:c>
      <x:c r="G7" s="10" t="str">
        <x:v>Create</x:v>
      </x:c>
      <x:c r="H7" s="10" t="str">
        <x:f>'Production assets'!F73</x:f>
        <x:v>Not started</x:v>
      </x:c>
      <x:c r="I7" s="10" t="str">
        <x:v>Editable SVG/layers + 1200 x 1200 WebP</x:v>
      </x:c>
      <x:c r="J7" s="10" t="str">
        <x:v>Generic workflow illustration</x:v>
      </x:c>
      <x:c r="K7" s="10" t="str">
        <x:v>CSS gradient + live UI</x:v>
      </x:c>
      <x:c r="L7" s="10" t="str">
        <x:v>580 x 580</x:v>
      </x:c>
      <x:c r="M7" s="10" t="str">
        <x:v>Pale mint, aqua, blue, navy</x:v>
      </x:c>
      <x:c r="N7" s="10" t="str">
        <x:v>Preserve the existing CSS gradient. Export foreground separately with transparent background. Keep key UI within the central 80%. Reuses the first feature detail artwork. Current copy repeats across two topics; keep the two placements distinct pending copy review.</x:v>
      </x:c>
      <x:c r="O7" s="10" t="str">
        <x:v>http://localhost:3000/products/databases#agentic-rag</x:v>
      </x:c>
    </x:row>
    <x:row r="8" ht="64" customHeight="1">
      <x:c r="A8" s="5" t="str">
        <x:v>P10-03</x:v>
      </x:c>
      <x:c r="B8" s="5" t="str">
        <x:v>Databases</x:v>
      </x:c>
      <x:c r="C8" s="5" t="str">
        <x:v>Feature card</x:v>
      </x:c>
      <x:c r="D8" s="5" t="str">
        <x:v>Find the context that matters.</x:v>
      </x:c>
      <x:c r="E8" s="5" t="str">
        <x:v>A068</x:v>
      </x:c>
      <x:c r="F8" s="5" t="str">
        <x:v>A question retrieving relevant passages from documents, with source citations attached to the answer.</x:v>
      </x:c>
      <x:c r="G8" s="5" t="str">
        <x:v>Create</x:v>
      </x:c>
      <x:c r="H8" s="5" t="str">
        <x:f>'Production assets'!F73</x:f>
        <x:v>Not started</x:v>
      </x:c>
      <x:c r="I8" s="5" t="str">
        <x:v>1200 x 1000 WebP crop of shared master</x:v>
      </x:c>
      <x:c r="J8" s="5" t="str">
        <x:v>Generic workflow illustration</x:v>
      </x:c>
      <x:c r="K8" s="5" t="str">
        <x:v>CSS gradient + live UI</x:v>
      </x:c>
      <x:c r="L8" s="5" t="str">
        <x:v>320 x 267</x:v>
      </x:c>
      <x:c r="M8" s="5" t="str">
        <x:v>Pale mint, aqua, blue, navy</x:v>
      </x:c>
      <x:c r="N8" s="5" t="str">
        <x:v>Preserve the existing CSS gradient. Export foreground separately with transparent background. Keep key UI within the central 80%. Current copy repeats across two topics; keep the two placements distinct pending copy review.</x:v>
      </x:c>
      <x:c r="O8" s="5" t="str">
        <x:v>http://localhost:3000/products/databases</x:v>
      </x:c>
    </x:row>
    <x:row r="9" ht="64" customHeight="1">
      <x:c r="A9" s="10" t="str">
        <x:v>P10-04</x:v>
      </x:c>
      <x:c r="B9" s="10" t="str">
        <x:v>Databases</x:v>
      </x:c>
      <x:c r="C9" s="10" t="str">
        <x:v>Feature card</x:v>
      </x:c>
      <x:c r="D9" s="10" t="str">
        <x:v>Find the context that matters.</x:v>
      </x:c>
      <x:c r="E9" s="10" t="str">
        <x:v>A069</x:v>
      </x:c>
      <x:c r="F9" s="10" t="str">
        <x:v>A search query ranking relevant document snippets and linking them to a reviewable answer.</x:v>
      </x:c>
      <x:c r="G9" s="10" t="str">
        <x:v>Create</x:v>
      </x:c>
      <x:c r="H9" s="10" t="str">
        <x:f>'Production assets'!F74</x:f>
        <x:v>Not started</x:v>
      </x:c>
      <x:c r="I9" s="10" t="str">
        <x:v>1200 x 1000 WebP crop of shared master</x:v>
      </x:c>
      <x:c r="J9" s="10" t="str">
        <x:v>Generic workflow illustration</x:v>
      </x:c>
      <x:c r="K9" s="10" t="str">
        <x:v>CSS gradient + live UI</x:v>
      </x:c>
      <x:c r="L9" s="10" t="str">
        <x:v>320 x 267</x:v>
      </x:c>
      <x:c r="M9" s="10" t="str">
        <x:v>Pale mint, aqua, blue, navy</x:v>
      </x:c>
      <x:c r="N9" s="10" t="str">
        <x:v>Preserve the existing CSS gradient. Export foreground separately with transparent background. Keep key UI within the central 80%. Current copy repeats across two topics; keep the two placements distinct pending copy review.</x:v>
      </x:c>
      <x:c r="O9" s="10" t="str">
        <x:v>http://localhost:3000/products/databases</x:v>
      </x:c>
    </x:row>
    <x:row r="10" ht="51" customHeight="1">
      <x:c r="A10" s="5" t="str">
        <x:v>P10-05</x:v>
      </x:c>
      <x:c r="B10" s="5" t="str">
        <x:v>Databases</x:v>
      </x:c>
      <x:c r="C10" s="5" t="str">
        <x:v>Feature card</x:v>
      </x:c>
      <x:c r="D10" s="5" t="str">
        <x:v>Bring your working files together.</x:v>
      </x:c>
      <x:c r="E10" s="5" t="str">
        <x:v>A070</x:v>
      </x:c>
      <x:c r="F10" s="5" t="str">
        <x:v>A file library with document, spreadsheet and PDF tiles plus format and processing states.</x:v>
      </x:c>
      <x:c r="G10" s="5" t="str">
        <x:v>Create</x:v>
      </x:c>
      <x:c r="H10" s="5" t="str">
        <x:f>'Production assets'!F75</x:f>
        <x:v>Not started</x:v>
      </x:c>
      <x:c r="I10" s="5" t="str">
        <x:v>1200 x 1000 WebP crop of shared master</x:v>
      </x:c>
      <x:c r="J10" s="5" t="str">
        <x:v>Generic workflow illustration</x:v>
      </x:c>
      <x:c r="K10" s="5" t="str">
        <x:v>CSS gradient + live UI</x:v>
      </x:c>
      <x:c r="L10" s="5" t="str">
        <x:v>320 x 267</x:v>
      </x:c>
      <x:c r="M10" s="5" t="str">
        <x:v>Pale mint, aqua, blue, navy</x:v>
      </x:c>
      <x:c r="N10" s="5" t="str">
        <x:v>Preserve the existing CSS gradient. Export foreground separately with transparent background. Keep key UI within the central 80%.</x:v>
      </x:c>
      <x:c r="O10" s="5" t="str">
        <x:v>http://localhost:3000/products/databases</x:v>
      </x:c>
    </x:row>
    <x:row r="11" ht="51" customHeight="1">
      <x:c r="A11" s="10" t="str">
        <x:v>P10-06</x:v>
      </x:c>
      <x:c r="B11" s="10" t="str">
        <x:v>Databases</x:v>
      </x:c>
      <x:c r="C11" s="10" t="str">
        <x:v>Feature card</x:v>
      </x:c>
      <x:c r="D11" s="10" t="str">
        <x:v>Keep useful context close.</x:v>
      </x:c>
      <x:c r="E11" s="10" t="str">
        <x:v>A071</x:v>
      </x:c>
      <x:c r="F11" s="10" t="str">
        <x:v>An agent context drawer linking current documents and records to the active task.</x:v>
      </x:c>
      <x:c r="G11" s="10" t="str">
        <x:v>Create</x:v>
      </x:c>
      <x:c r="H11" s="10" t="str">
        <x:f>'Production assets'!F76</x:f>
        <x:v>Not started</x:v>
      </x:c>
      <x:c r="I11" s="10" t="str">
        <x:v>1200 x 1000 WebP crop of shared master</x:v>
      </x:c>
      <x:c r="J11" s="10" t="str">
        <x:v>Generic workflow illustration</x:v>
      </x:c>
      <x:c r="K11" s="10" t="str">
        <x:v>CSS gradient + live UI</x:v>
      </x:c>
      <x:c r="L11" s="10" t="str">
        <x:v>320 x 267</x:v>
      </x:c>
      <x:c r="M11" s="10" t="str">
        <x:v>Pale mint, aqua, blue, navy</x:v>
      </x:c>
      <x:c r="N11" s="10" t="str">
        <x:v>Preserve the existing CSS gradient. Export foreground separately with transparent background. Keep key UI within the central 80%.</x:v>
      </x:c>
      <x:c r="O11" s="10" t="str">
        <x:v>http://localhost:3000/products/databases</x:v>
      </x:c>
    </x:row>
    <x:row r="12" ht="51" customHeight="1">
      <x:c r="A12" s="5" t="str">
        <x:v>P10-07</x:v>
      </x:c>
      <x:c r="B12" s="5" t="str">
        <x:v>Databases</x:v>
      </x:c>
      <x:c r="C12" s="5" t="str">
        <x:v>Feature card</x:v>
      </x:c>
      <x:c r="D12" s="5" t="str">
        <x:v>Give shared information a home.</x:v>
      </x:c>
      <x:c r="E12" s="5" t="str">
        <x:v>A072</x:v>
      </x:c>
      <x:c r="F12" s="5" t="str">
        <x:v>A structured table with linked records, a selected row and the workflow that consumes it.</x:v>
      </x:c>
      <x:c r="G12" s="5" t="str">
        <x:v>Create</x:v>
      </x:c>
      <x:c r="H12" s="5" t="str">
        <x:f>'Production assets'!F77</x:f>
        <x:v>Not started</x:v>
      </x:c>
      <x:c r="I12" s="5" t="str">
        <x:v>1200 x 1000 WebP crop of shared master</x:v>
      </x:c>
      <x:c r="J12" s="5" t="str">
        <x:v>Generic workflow illustration</x:v>
      </x:c>
      <x:c r="K12" s="5" t="str">
        <x:v>CSS gradient + live UI</x:v>
      </x:c>
      <x:c r="L12" s="5" t="str">
        <x:v>320 x 267</x:v>
      </x:c>
      <x:c r="M12" s="5" t="str">
        <x:v>Pale mint, aqua, blue, navy</x:v>
      </x:c>
      <x:c r="N12" s="5" t="str">
        <x:v>Preserve the existing CSS gradient. Export foreground separately with transparent background. Keep key UI within the central 80%.</x:v>
      </x:c>
      <x:c r="O12" s="5" t="str">
        <x:v>http://localhost:3000/products/databases</x:v>
      </x:c>
    </x:row>
    <x:row r="13" ht="38" customHeight="1">
      <x:c r="A13" s="10" t="str">
        <x:v>P10-08</x:v>
      </x:c>
      <x:c r="B13" s="10" t="str">
        <x:v>Databases</x:v>
      </x:c>
      <x:c r="C13" s="10" t="str">
        <x:v>Product overview</x:v>
      </x:c>
      <x:c r="D13" s="10" t="str">
        <x:v>The pieces that keep your work connected.</x:v>
      </x:c>
      <x:c r="E13" s="10" t="str">
        <x:v>A073</x:v>
      </x:c>
      <x:c r="F13" s="10" t="str">
        <x:v>Retain the existing interactive workspace. Optional static poster only if a still image is needed.</x:v>
      </x:c>
      <x:c r="G13" s="10" t="str">
        <x:v>Reuse</x:v>
      </x:c>
      <x:c r="H13" s="10" t="str">
        <x:f>'Production assets'!F78</x:f>
        <x:v>Existing</x:v>
      </x:c>
      <x:c r="I13" s="10" t="str">
        <x:v>Live component; optional 1920 px wide poster</x:v>
      </x:c>
      <x:c r="J13" s="10" t="str">
        <x:v>Interactive workspace</x:v>
      </x:c>
      <x:c r="K13" s="10" t="str">
        <x:v>CSS gradient + live UI</x:v>
      </x:c>
      <x:c r="L13" s="10" t="str">
        <x:v>960 x 675</x:v>
      </x:c>
      <x:c r="M13" s="10" t="str">
        <x:v>Pale mint, aqua, blue, navy</x:v>
      </x:c>
      <x:c r="N13" s="10" t="str">
        <x:v>Do not replace working controls with a flattened image.</x:v>
      </x:c>
      <x:c r="O13" s="10" t="str">
        <x:v>http://localhost:3000/products/databases</x:v>
      </x:c>
    </x:row>
    <x:row r="14" ht="64" customHeight="1">
      <x:c r="A14" s="5" t="str">
        <x:v>P10-09</x:v>
      </x:c>
      <x:c r="B14" s="5" t="str">
        <x:v>Databases</x:v>
      </x:c>
      <x:c r="C14" s="5" t="str">
        <x:v>Feature detail</x:v>
      </x:c>
      <x:c r="D14" s="5" t="str">
        <x:v>Find the context that matters.</x:v>
      </x:c>
      <x:c r="E14" s="5" t="str">
        <x:v>A068</x:v>
      </x:c>
      <x:c r="F14" s="5" t="str">
        <x:v>A question retrieving relevant passages from documents, with source citations attached to the answer.</x:v>
      </x:c>
      <x:c r="G14" s="5" t="str">
        <x:v>Create</x:v>
      </x:c>
      <x:c r="H14" s="5" t="str">
        <x:f>'Production assets'!F73</x:f>
        <x:v>Not started</x:v>
      </x:c>
      <x:c r="I14" s="5" t="str">
        <x:v>Editable SVG/layers + 1200 x 1200 WebP</x:v>
      </x:c>
      <x:c r="J14" s="5" t="str">
        <x:v>Generic workflow illustration</x:v>
      </x:c>
      <x:c r="K14" s="5" t="str">
        <x:v>CSS gradient + live UI</x:v>
      </x:c>
      <x:c r="L14" s="5" t="str">
        <x:v>580 x 580</x:v>
      </x:c>
      <x:c r="M14" s="5" t="str">
        <x:v>Pale mint, aqua, blue, navy</x:v>
      </x:c>
      <x:c r="N14" s="5" t="str">
        <x:v>Preserve the existing CSS gradient. Export foreground separately with transparent background. Keep key UI within the central 80%. Current copy repeats across two topics; keep the two placements distinct pending copy review.</x:v>
      </x:c>
      <x:c r="O14" s="5" t="str">
        <x:v>http://localhost:3000/products/databases#agentic-rag</x:v>
      </x:c>
    </x:row>
    <x:row r="15" ht="51" customHeight="1">
      <x:c r="A15" s="10" t="str">
        <x:v>P10-10</x:v>
      </x:c>
      <x:c r="B15" s="10" t="str">
        <x:v>Databases</x:v>
      </x:c>
      <x:c r="C15" s="10" t="str">
        <x:v>Feature detail</x:v>
      </x:c>
      <x:c r="D15" s="10" t="str">
        <x:v>Bring your working files together.</x:v>
      </x:c>
      <x:c r="E15" s="10" t="str">
        <x:v>A070</x:v>
      </x:c>
      <x:c r="F15" s="10" t="str">
        <x:v>A file library with document, spreadsheet and PDF tiles plus format and processing states.</x:v>
      </x:c>
      <x:c r="G15" s="10" t="str">
        <x:v>Create</x:v>
      </x:c>
      <x:c r="H15" s="10" t="str">
        <x:f>'Production assets'!F75</x:f>
        <x:v>Not started</x:v>
      </x:c>
      <x:c r="I15" s="10" t="str">
        <x:v>Editable SVG/layers + 1200 x 1200 WebP</x:v>
      </x:c>
      <x:c r="J15" s="10" t="str">
        <x:v>Generic workflow illustration</x:v>
      </x:c>
      <x:c r="K15" s="10" t="str">
        <x:v>CSS gradient + live UI</x:v>
      </x:c>
      <x:c r="L15" s="10" t="str">
        <x:v>532 x 532</x:v>
      </x:c>
      <x:c r="M15" s="10" t="str">
        <x:v>Pale mint, aqua, blue, navy</x:v>
      </x:c>
      <x:c r="N15" s="10" t="str">
        <x:v>Preserve the existing CSS gradient. Export foreground separately with transparent background. Keep key UI within the central 80%.</x:v>
      </x:c>
      <x:c r="O15" s="10" t="str">
        <x:v>http://localhost:3000/products/databases#all-file-types</x:v>
      </x:c>
    </x:row>
    <x:row r="16" ht="51" customHeight="1">
      <x:c r="A16" s="5" t="str">
        <x:v>P10-11</x:v>
      </x:c>
      <x:c r="B16" s="5" t="str">
        <x:v>Databases</x:v>
      </x:c>
      <x:c r="C16" s="5" t="str">
        <x:v>Feature detail</x:v>
      </x:c>
      <x:c r="D16" s="5" t="str">
        <x:v>Give shared information a home.</x:v>
      </x:c>
      <x:c r="E16" s="5" t="str">
        <x:v>A072</x:v>
      </x:c>
      <x:c r="F16" s="5" t="str">
        <x:v>A structured table with linked records, a selected row and the workflow that consumes it.</x:v>
      </x:c>
      <x:c r="G16" s="5" t="str">
        <x:v>Create</x:v>
      </x:c>
      <x:c r="H16" s="5" t="str">
        <x:f>'Production assets'!F77</x:f>
        <x:v>Not started</x:v>
      </x:c>
      <x:c r="I16" s="5" t="str">
        <x:v>Editable SVG/layers + 1200 x 1200 WebP</x:v>
      </x:c>
      <x:c r="J16" s="5" t="str">
        <x:v>Generic workflow illustration</x:v>
      </x:c>
      <x:c r="K16" s="5" t="str">
        <x:v>CSS gradient + live UI</x:v>
      </x:c>
      <x:c r="L16" s="5" t="str">
        <x:v>580 x 580</x:v>
      </x:c>
      <x:c r="M16" s="5" t="str">
        <x:v>Pale mint, aqua, blue, navy</x:v>
      </x:c>
      <x:c r="N16" s="5" t="str">
        <x:v>Preserve the existing CSS gradient. Export foreground separately with transparent background. Keep key UI within the central 80%.</x:v>
      </x:c>
      <x:c r="O16" s="5" t="str">
        <x:v>http://localhost:3000/products/databases#databases</x:v>
      </x:c>
    </x:row>
    <x:row r="17" ht="51" customHeight="1">
      <x:c r="A17" s="10" t="str">
        <x:v>P10-12</x:v>
      </x:c>
      <x:c r="B17" s="10" t="str">
        <x:v>Databases</x:v>
      </x:c>
      <x:c r="C17" s="10" t="str">
        <x:v>Feature detail</x:v>
      </x:c>
      <x:c r="D17" s="10" t="str">
        <x:v>Keep useful context close.</x:v>
      </x:c>
      <x:c r="E17" s="10" t="str">
        <x:v>A071</x:v>
      </x:c>
      <x:c r="F17" s="10" t="str">
        <x:v>An agent context drawer linking current documents and records to the active task.</x:v>
      </x:c>
      <x:c r="G17" s="10" t="str">
        <x:v>Create</x:v>
      </x:c>
      <x:c r="H17" s="10" t="str">
        <x:f>'Production assets'!F76</x:f>
        <x:v>Not started</x:v>
      </x:c>
      <x:c r="I17" s="10" t="str">
        <x:v>Editable SVG/layers + 1200 x 1200 WebP</x:v>
      </x:c>
      <x:c r="J17" s="10" t="str">
        <x:v>Generic workflow illustration</x:v>
      </x:c>
      <x:c r="K17" s="10" t="str">
        <x:v>CSS gradient + live UI</x:v>
      </x:c>
      <x:c r="L17" s="10" t="str">
        <x:v>532 x 532</x:v>
      </x:c>
      <x:c r="M17" s="10" t="str">
        <x:v>Pale mint, aqua, blue, navy</x:v>
      </x:c>
      <x:c r="N17" s="10" t="str">
        <x:v>Preserve the existing CSS gradient. Export foreground separately with transparent background. Keep key UI within the central 80%.</x:v>
      </x:c>
      <x:c r="O17" s="10" t="str">
        <x:v>http://localhost:3000/products/databases#agent-context</x:v>
      </x:c>
    </x:row>
    <x:row r="18" ht="64" customHeight="1">
      <x:c r="A18" s="5" t="str">
        <x:v>P10-13</x:v>
      </x:c>
      <x:c r="B18" s="5" t="str">
        <x:v>Databases</x:v>
      </x:c>
      <x:c r="C18" s="5" t="str">
        <x:v>Feature detail</x:v>
      </x:c>
      <x:c r="D18" s="5" t="str">
        <x:v>Find the context that matters.</x:v>
      </x:c>
      <x:c r="E18" s="5" t="str">
        <x:v>A069</x:v>
      </x:c>
      <x:c r="F18" s="5" t="str">
        <x:v>A search query ranking relevant document snippets and linking them to a reviewable answer.</x:v>
      </x:c>
      <x:c r="G18" s="5" t="str">
        <x:v>Create</x:v>
      </x:c>
      <x:c r="H18" s="5" t="str">
        <x:f>'Production assets'!F74</x:f>
        <x:v>Not started</x:v>
      </x:c>
      <x:c r="I18" s="5" t="str">
        <x:v>Editable SVG/layers + 1200 x 1200 WebP</x:v>
      </x:c>
      <x:c r="J18" s="5" t="str">
        <x:v>Generic workflow illustration</x:v>
      </x:c>
      <x:c r="K18" s="5" t="str">
        <x:v>CSS gradient + live UI</x:v>
      </x:c>
      <x:c r="L18" s="5" t="str">
        <x:v>580 x 580</x:v>
      </x:c>
      <x:c r="M18" s="5" t="str">
        <x:v>Pale mint, aqua, blue, navy</x:v>
      </x:c>
      <x:c r="N18" s="5" t="str">
        <x:v>Preserve the existing CSS gradient. Export foreground separately with transparent background. Keep key UI within the central 80%. Current copy repeats across two topics; keep the two placements distinct pending copy review.</x:v>
      </x:c>
      <x:c r="O18" s="5" t="str">
        <x:v>http://localhost:3000/products/databases#retrieval</x:v>
      </x:c>
    </x:row>
    <x:row r="19" ht="38" customHeight="1">
      <x:c r="A19" s="10" t="str">
        <x:v>P10-14</x:v>
      </x:c>
      <x:c r="B19" s="10" t="str">
        <x:v>Databases</x:v>
      </x:c>
      <x:c r="C19" s="10" t="str">
        <x:v>Related product thumbnail</x:v>
      </x:c>
      <x:c r="D19" s="10" t="str">
        <x:v>Platform</x:v>
      </x:c>
      <x:c r="E19" s="10" t="str">
        <x:v>A015</x:v>
      </x:c>
      <x:c r="F19" s="10" t="str">
        <x:v>A compact workspace overview linking agents, tools and shared knowledge.</x:v>
      </x:c>
      <x:c r="G19" s="10" t="str">
        <x:v>Create</x:v>
      </x:c>
      <x:c r="H19" s="10" t="str">
        <x:f>'Production assets'!F20</x:f>
        <x:v>Not started</x:v>
      </x:c>
      <x:c r="I19" s="10" t="str">
        <x:v>Editable SVG + 1200 x 1000 WebP</x:v>
      </x:c>
      <x:c r="J19" s="10" t="str">
        <x:v>Generic star on gradient</x:v>
      </x:c>
      <x:c r="K19" s="10" t="str">
        <x:v>/brand/calendly/assistant-hero.svg + star glyph</x:v>
      </x:c>
      <x:c r="L19" s="10" t="str">
        <x:v>227 x 189</x:v>
      </x:c>
      <x:c r="M19" s="10" t="str">
        <x:v>Ice blue, white, teal, deep green</x:v>
      </x:c>
      <x:c r="N19" s="10" t="str">
        <x:v>Create once and reuse across related-product cards and the Platform card rail. Keep the gradient separate.</x:v>
      </x:c>
      <x:c r="O19" s="10" t="str">
        <x:v>http://localhost:3000/products/databases</x:v>
      </x:c>
    </x:row>
    <x:row r="20" ht="38" customHeight="1">
      <x:c r="A20" s="5" t="str">
        <x:v>P10-15</x:v>
      </x:c>
      <x:c r="B20" s="5" t="str">
        <x:v>Databases</x:v>
      </x:c>
      <x:c r="C20" s="5" t="str">
        <x:v>Related product thumbnail</x:v>
      </x:c>
      <x:c r="D20" s="5" t="str">
        <x:v>Integrations</x:v>
      </x:c>
      <x:c r="E20" s="5" t="str">
        <x:v>A006</x:v>
      </x:c>
      <x:c r="F20" s="5" t="str">
        <x:v>A central Innflow node connected to a small set of tool tiles.</x:v>
      </x:c>
      <x:c r="G20" s="5" t="str">
        <x:v>Create</x:v>
      </x:c>
      <x:c r="H20" s="5" t="str">
        <x:f>'Production assets'!F11</x:f>
        <x:v>Not started</x:v>
      </x:c>
      <x:c r="I20" s="5" t="str">
        <x:v>Editable SVG + 1200 x 1000 WebP</x:v>
      </x:c>
      <x:c r="J20" s="5" t="str">
        <x:v>Generic star on gradient</x:v>
      </x:c>
      <x:c r="K20" s="5" t="str">
        <x:v>/brand/calendly/scheduling-hero.svg + star glyph</x:v>
      </x:c>
      <x:c r="L20" s="5" t="str">
        <x:v>227 x 189</x:v>
      </x:c>
      <x:c r="M20" s="5" t="str">
        <x:v>Sky blue, pale aqua, navy</x:v>
      </x:c>
      <x:c r="N20" s="5" t="str">
        <x:v>Create once and reuse across related-product cards and the Platform card rail. Keep the gradient separate.</x:v>
      </x:c>
      <x:c r="O20" s="5" t="str">
        <x:v>http://localhost:3000/products/databases</x:v>
      </x:c>
    </x:row>
    <x:row r="21" ht="38" customHeight="1">
      <x:c r="A21" s="10" t="str">
        <x:v>P10-16</x:v>
      </x:c>
      <x:c r="B21" s="10" t="str">
        <x:v>Databases</x:v>
      </x:c>
      <x:c r="C21" s="10" t="str">
        <x:v>Related product thumbnail</x:v>
      </x:c>
      <x:c r="D21" s="10" t="str">
        <x:v>Agentic Workflows</x:v>
      </x:c>
      <x:c r="E21" s="10" t="str">
        <x:v>A010</x:v>
      </x:c>
      <x:c r="F21" s="10" t="str">
        <x:v>A compact workflow canvas with trigger, branch and action nodes.</x:v>
      </x:c>
      <x:c r="G21" s="10" t="str">
        <x:v>Create</x:v>
      </x:c>
      <x:c r="H21" s="10" t="str">
        <x:f>'Production assets'!F15</x:f>
        <x:v>Not started</x:v>
      </x:c>
      <x:c r="I21" s="10" t="str">
        <x:v>Editable SVG + 1200 x 1000 WebP</x:v>
      </x:c>
      <x:c r="J21" s="10" t="str">
        <x:v>Generic star on gradient</x:v>
      </x:c>
      <x:c r="K21" s="10" t="str">
        <x:v>/brand/calendly/notetaker-hero.svg + star glyph</x:v>
      </x:c>
      <x:c r="L21" s="10" t="str">
        <x:v>227 x 189</x:v>
      </x:c>
      <x:c r="M21" s="10" t="str">
        <x:v>Navy, blue, blush, lavender</x:v>
      </x:c>
      <x:c r="N21" s="10" t="str">
        <x:v>Create once and reuse across related-product cards and the Platform card rail. Keep the gradient separate.</x:v>
      </x:c>
      <x:c r="O21" s="10" t="str">
        <x:v>http://localhost:3000/products/databases</x:v>
      </x:c>
    </x:row>
    <x:row r="22" ht="38" customHeight="1">
      <x:c r="A22" s="5" t="str">
        <x:v>P10-17</x:v>
      </x:c>
      <x:c r="B22" s="5" t="str">
        <x:v>Databases</x:v>
      </x:c>
      <x:c r="C22" s="5" t="str">
        <x:v>Related product thumbnail</x:v>
      </x:c>
      <x:c r="D22" s="5" t="str">
        <x:v>Agent OS</x:v>
      </x:c>
      <x:c r="E22" s="5" t="str">
        <x:v>A011</x:v>
      </x:c>
      <x:c r="F22" s="5" t="str">
        <x:v>A small orchestration graph connecting agents and shared memory.</x:v>
      </x:c>
      <x:c r="G22" s="5" t="str">
        <x:v>Create</x:v>
      </x:c>
      <x:c r="H22" s="5" t="str">
        <x:f>'Production assets'!F16</x:f>
        <x:v>Not started</x:v>
      </x:c>
      <x:c r="I22" s="5" t="str">
        <x:v>Editable SVG + 1200 x 1000 WebP</x:v>
      </x:c>
      <x:c r="J22" s="5" t="str">
        <x:v>Generic star on gradient</x:v>
      </x:c>
      <x:c r="K22" s="5" t="str">
        <x:v>/brand/calendly/contacts-hero.svg + star glyph</x:v>
      </x:c>
      <x:c r="L22" s="5" t="str">
        <x:v>227 x 189</x:v>
      </x:c>
      <x:c r="M22" s="5" t="str">
        <x:v>Cream, peach, pink, blue</x:v>
      </x:c>
      <x:c r="N22" s="5" t="str">
        <x:v>Create once and reuse across related-product cards and the Platform card rail. Keep the gradient separate.</x:v>
      </x:c>
      <x:c r="O22" s="5" t="str">
        <x:v>http://localhost:3000/products/databases</x:v>
      </x:c>
    </x:row>
    <x:row r="23" ht="38" customHeight="1">
      <x:c r="A23" s="10" t="str">
        <x:v>P10-18</x:v>
      </x:c>
      <x:c r="B23" s="10" t="str">
        <x:v>Databases</x:v>
      </x:c>
      <x:c r="C23" s="10" t="str">
        <x:v>Related product thumbnail</x:v>
      </x:c>
      <x:c r="D23" s="10" t="str">
        <x:v>AI Agents</x:v>
      </x:c>
      <x:c r="E23" s="10" t="str">
        <x:v>A012</x:v>
      </x:c>
      <x:c r="F23" s="10" t="str">
        <x:v>An agent task card with linked evidence and a proposed next action.</x:v>
      </x:c>
      <x:c r="G23" s="10" t="str">
        <x:v>Create</x:v>
      </x:c>
      <x:c r="H23" s="10" t="str">
        <x:f>'Production assets'!F17</x:f>
        <x:v>Not started</x:v>
      </x:c>
      <x:c r="I23" s="10" t="str">
        <x:v>Editable SVG + 1200 x 1000 WebP</x:v>
      </x:c>
      <x:c r="J23" s="10" t="str">
        <x:v>Generic star on gradient</x:v>
      </x:c>
      <x:c r="K23" s="10" t="str">
        <x:v>/brand/calendly/payments-hero.svg + star glyph</x:v>
      </x:c>
      <x:c r="L23" s="10" t="str">
        <x:v>227 x 189</x:v>
      </x:c>
      <x:c r="M23" s="10" t="str">
        <x:v>Pale mint, aqua, blue, navy</x:v>
      </x:c>
      <x:c r="N23" s="10" t="str">
        <x:v>Create once and reuse across related-product cards and the Platform card rail. Keep the gradient separate.</x:v>
      </x:c>
      <x:c r="O23" s="10" t="str">
        <x:v>http://localhost:3000/products/databases</x:v>
      </x:c>
    </x:row>
  </x:sheetData>
  <x:pageMargins left="0.7" right="0.7" top="0.75" bottom="0.75" header="0.3" footer="0.3"/>
  <x:tableParts count="1">
    <x:tablePart xmlns:r="http://schemas.openxmlformats.org/officeDocument/2006/relationships" r:id="Rdfa256a66be540bc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4" hidden="0" customWidth="1"/>
    <x:col min="2" max="2" width="25" hidden="0" customWidth="1"/>
    <x:col min="3" max="3" width="24" hidden="0" customWidth="1"/>
    <x:col min="4" max="4" width="40" hidden="0" customWidth="1"/>
    <x:col min="5" max="5" width="12" hidden="0" customWidth="1"/>
    <x:col min="6" max="6" width="76" hidden="0" customWidth="1"/>
    <x:col min="7" max="7" width="14" hidden="0" customWidth="1"/>
    <x:col min="8" max="8" width="17" hidden="0" customWidth="1"/>
    <x:col min="9" max="9" width="40" hidden="0" customWidth="1"/>
    <x:col min="10" max="10" width="28" hidden="0" customWidth="1"/>
    <x:col min="11" max="11" width="65" hidden="0" customWidth="1"/>
    <x:col min="12" max="12" width="18" hidden="0" customWidth="1"/>
    <x:col min="13" max="13" width="30" hidden="0" customWidth="1"/>
    <x:col min="14" max="14" width="65" hidden="0" customWidth="1"/>
    <x:col min="15" max="15" width="6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>
      <x:c r="A2" s="2" t="str">
        <x:v>Agentic Automation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>
      <x:c r="A3" s="3" t="str">
        <x:v>/platform/agentic-automation | Assistant reference. Status links to Production assets.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30" customHeight="1">
      <x:c r="A5" s="9" t="str">
        <x:v>Placement ID</x:v>
      </x:c>
      <x:c r="B5" s="9" t="str">
        <x:v>Page</x:v>
      </x:c>
      <x:c r="C5" s="9" t="str">
        <x:v>Section</x:v>
      </x:c>
      <x:c r="D5" s="9" t="str">
        <x:v>Section title</x:v>
      </x:c>
      <x:c r="E5" s="9" t="str">
        <x:v>Asset ID</x:v>
      </x:c>
      <x:c r="F5" s="9" t="str">
        <x:v>Recommended artwork</x:v>
      </x:c>
      <x:c r="G5" s="9" t="str">
        <x:v>Action</x:v>
      </x:c>
      <x:c r="H5" s="9" t="str">
        <x:v>Status</x:v>
      </x:c>
      <x:c r="I5" s="9" t="str">
        <x:v>Recommended deliverable</x:v>
      </x:c>
      <x:c r="J5" s="9" t="str">
        <x:v>Current artwork</x:v>
      </x:c>
      <x:c r="K5" s="9" t="str">
        <x:v>Current sources</x:v>
      </x:c>
      <x:c r="L5" s="9" t="str">
        <x:v>Desktop size (px)</x:v>
      </x:c>
      <x:c r="M5" s="9" t="str">
        <x:v>Gradient palette</x:v>
      </x:c>
      <x:c r="N5" s="9" t="str">
        <x:v>Reuse and crop notes</x:v>
      </x:c>
      <x:c r="O5" s="9" t="str">
        <x:v>Page reference</x:v>
      </x:c>
    </x:row>
    <x:row r="6" ht="38" customHeight="1">
      <x:c r="A6" s="5" t="str">
        <x:v>P11-01</x:v>
      </x:c>
      <x:c r="B6" s="5" t="str">
        <x:v>Agentic Automation</x:v>
      </x:c>
      <x:c r="C6" s="5" t="str">
        <x:v>Hero background</x:v>
      </x:c>
      <x:c r="D6" s="5" t="str">
        <x:v>Give recurring work a clear path forward.</x:v>
      </x:c>
      <x:c r="E6" s="5" t="str">
        <x:v>A001</x:v>
      </x:c>
      <x:c r="F6" s="5" t="str">
        <x:v>Reuse the existing Paper SVG as a separate background layer. No new background required.</x:v>
      </x:c>
      <x:c r="G6" s="5" t="str">
        <x:v>Reuse</x:v>
      </x:c>
      <x:c r="H6" s="5" t="str">
        <x:f>'Production assets'!F6</x:f>
        <x:v>Existing</x:v>
      </x:c>
      <x:c r="I6" s="5" t="str">
        <x:v>Existing scalable SVG</x:v>
      </x:c>
      <x:c r="J6" s="5" t="str">
        <x:v>Existing background</x:v>
      </x:c>
      <x:c r="K6" s="5" t="str">
        <x:v>/brand/calendly/assistant-hero.svg</x:v>
      </x:c>
      <x:c r="L6" s="5" t="str">
        <x:v>1387 x 776</x:v>
      </x:c>
      <x:c r="M6" s="5" t="str">
        <x:v>Ice blue, white, teal, deep green</x:v>
      </x:c>
      <x:c r="N6" s="5" t="str">
        <x:v>Shared by every page using this style.</x:v>
      </x:c>
      <x:c r="O6" s="5" t="str">
        <x:v>http://localhost:3000/platform/agentic-automation</x:v>
      </x:c>
    </x:row>
    <x:row r="7" ht="51" customHeight="1">
      <x:c r="A7" s="10" t="str">
        <x:v>P11-02</x:v>
      </x:c>
      <x:c r="B7" s="10" t="str">
        <x:v>Agentic Automation</x:v>
      </x:c>
      <x:c r="C7" s="10" t="str">
        <x:v>Capability overview</x:v>
      </x:c>
      <x:c r="D7" s="10" t="str">
        <x:v>Workflow logic</x:v>
      </x:c>
      <x:c r="E7" s="10" t="str">
        <x:v>A074</x:v>
      </x:c>
      <x:c r="F7" s="10" t="str">
        <x:v>A process graph splitting a routine request from an exception that needs reasoning and review.</x:v>
      </x:c>
      <x:c r="G7" s="10" t="str">
        <x:v>Rework</x:v>
      </x:c>
      <x:c r="H7" s="10" t="str">
        <x:f>'Production assets'!F79</x:f>
        <x:v>Not started</x:v>
      </x:c>
      <x:c r="I7" s="10" t="str">
        <x:v>Editable SVG/layers + 1200 x 1200 WebP</x:v>
      </x:c>
      <x:c r="J7" s="10" t="str">
        <x:v>Existing product image</x:v>
      </x:c>
      <x:c r="K7" s="10" t="str">
        <x:v>/brand/platform/agentic-automation/reasoning.jpg</x:v>
      </x:c>
      <x:c r="L7" s="10" t="str">
        <x:v>580 x 580</x:v>
      </x:c>
      <x:c r="M7" s="10" t="str">
        <x:v>Ice blue, white, teal, deep green</x:v>
      </x:c>
      <x:c r="N7" s="10" t="str">
        <x:v>Preserve the existing CSS gradient. Export foreground separately with transparent background. Keep key UI within the central 80%. Reuses the first feature detail artwork.</x:v>
      </x:c>
      <x:c r="O7" s="10" t="str">
        <x:v>http://localhost:3000/platform/agentic-automation#reasoning</x:v>
      </x:c>
    </x:row>
    <x:row r="8" ht="51" customHeight="1">
      <x:c r="A8" s="5" t="str">
        <x:v>P11-03</x:v>
      </x:c>
      <x:c r="B8" s="5" t="str">
        <x:v>Agentic Automation</x:v>
      </x:c>
      <x:c r="C8" s="5" t="str">
        <x:v>Feature card</x:v>
      </x:c>
      <x:c r="D8" s="5" t="str">
        <x:v>Plan the steps. Make room for judgment.</x:v>
      </x:c>
      <x:c r="E8" s="5" t="str">
        <x:v>A074</x:v>
      </x:c>
      <x:c r="F8" s="5" t="str">
        <x:v>A process graph splitting a routine request from an exception that needs reasoning and review.</x:v>
      </x:c>
      <x:c r="G8" s="5" t="str">
        <x:v>Rework</x:v>
      </x:c>
      <x:c r="H8" s="5" t="str">
        <x:f>'Production assets'!F79</x:f>
        <x:v>Not started</x:v>
      </x:c>
      <x:c r="I8" s="5" t="str">
        <x:v>1200 x 1000 WebP crop of shared master</x:v>
      </x:c>
      <x:c r="J8" s="5" t="str">
        <x:v>Existing product image</x:v>
      </x:c>
      <x:c r="K8" s="5" t="str">
        <x:v>/brand/platform/agentic-automation/reasoning.jpg</x:v>
      </x:c>
      <x:c r="L8" s="5" t="str">
        <x:v>320 x 267</x:v>
      </x:c>
      <x:c r="M8" s="5" t="str">
        <x:v>Ice blue, white, teal, deep green</x:v>
      </x:c>
      <x:c r="N8" s="5" t="str">
        <x:v>Preserve the existing CSS gradient. Export foreground separately with transparent background. Keep key UI within the central 80%.</x:v>
      </x:c>
      <x:c r="O8" s="5" t="str">
        <x:v>http://localhost:3000/platform/agentic-automation#reasoning</x:v>
      </x:c>
    </x:row>
    <x:row r="9" ht="51" customHeight="1">
      <x:c r="A9" s="10" t="str">
        <x:v>P11-04</x:v>
      </x:c>
      <x:c r="B9" s="10" t="str">
        <x:v>Agentic Automation</x:v>
      </x:c>
      <x:c r="C9" s="10" t="str">
        <x:v>Feature card</x:v>
      </x:c>
      <x:c r="D9" s="10" t="str">
        <x:v>Start with the way information arrives.</x:v>
      </x:c>
      <x:c r="E9" s="10" t="str">
        <x:v>A075</x:v>
      </x:c>
      <x:c r="F9" s="10" t="str">
        <x:v>Email, document and note cards converging into one normalized request record.</x:v>
      </x:c>
      <x:c r="G9" s="10" t="str">
        <x:v>Rework</x:v>
      </x:c>
      <x:c r="H9" s="10" t="str">
        <x:f>'Production assets'!F80</x:f>
        <x:v>Not started</x:v>
      </x:c>
      <x:c r="I9" s="10" t="str">
        <x:v>1200 x 1000 WebP crop of shared master</x:v>
      </x:c>
      <x:c r="J9" s="10" t="str">
        <x:v>Existing product image</x:v>
      </x:c>
      <x:c r="K9" s="10" t="str">
        <x:v>/brand/platform/agentic-automation/variety.jpg</x:v>
      </x:c>
      <x:c r="L9" s="10" t="str">
        <x:v>320 x 267</x:v>
      </x:c>
      <x:c r="M9" s="10" t="str">
        <x:v>Ice blue, white, teal, deep green</x:v>
      </x:c>
      <x:c r="N9" s="10" t="str">
        <x:v>Preserve the existing CSS gradient. Export foreground separately with transparent background. Keep key UI within the central 80%.</x:v>
      </x:c>
      <x:c r="O9" s="10" t="str">
        <x:v>http://localhost:3000/platform/agentic-automation#variety</x:v>
      </x:c>
    </x:row>
    <x:row r="10" ht="51" customHeight="1">
      <x:c r="A10" s="5" t="str">
        <x:v>P11-05</x:v>
      </x:c>
      <x:c r="B10" s="5" t="str">
        <x:v>Agentic Automation</x:v>
      </x:c>
      <x:c r="C10" s="5" t="str">
        <x:v>Feature card</x:v>
      </x:c>
      <x:c r="D10" s="5" t="str">
        <x:v>Connect the tools involved in the task.</x:v>
      </x:c>
      <x:c r="E10" s="5" t="str">
        <x:v>A076</x:v>
      </x:c>
      <x:c r="F10" s="5" t="str">
        <x:v>A workflow connecting its inbox, shared record and action tools with scoped handoffs.</x:v>
      </x:c>
      <x:c r="G10" s="5" t="str">
        <x:v>Rework</x:v>
      </x:c>
      <x:c r="H10" s="5" t="str">
        <x:f>'Production assets'!F81</x:f>
        <x:v>Not started</x:v>
      </x:c>
      <x:c r="I10" s="5" t="str">
        <x:v>1200 x 1000 WebP crop of shared master</x:v>
      </x:c>
      <x:c r="J10" s="5" t="str">
        <x:v>Existing product image</x:v>
      </x:c>
      <x:c r="K10" s="5" t="str">
        <x:v>/brand/platform/agentic-automation/integrations.jpg</x:v>
      </x:c>
      <x:c r="L10" s="5" t="str">
        <x:v>320 x 267</x:v>
      </x:c>
      <x:c r="M10" s="5" t="str">
        <x:v>Ice blue, white, teal, deep green</x:v>
      </x:c>
      <x:c r="N10" s="5" t="str">
        <x:v>Preserve the existing CSS gradient. Export foreground separately with transparent background. Keep key UI within the central 80%.</x:v>
      </x:c>
      <x:c r="O10" s="5" t="str">
        <x:v>http://localhost:3000/platform/agentic-automation#integrations</x:v>
      </x:c>
    </x:row>
    <x:row r="11" ht="51" customHeight="1">
      <x:c r="A11" s="10" t="str">
        <x:v>P11-06</x:v>
      </x:c>
      <x:c r="B11" s="10" t="str">
        <x:v>Agentic Automation</x:v>
      </x:c>
      <x:c r="C11" s="10" t="str">
        <x:v>Feature card</x:v>
      </x:c>
      <x:c r="D11" s="10" t="str">
        <x:v>Use experience to refine the process.</x:v>
      </x:c>
      <x:c r="E11" s="10" t="str">
        <x:v>A077</x:v>
      </x:c>
      <x:c r="F11" s="10" t="str">
        <x:v>A reviewed correction feeding a proposed workflow revision and a retest.</x:v>
      </x:c>
      <x:c r="G11" s="10" t="str">
        <x:v>Rework</x:v>
      </x:c>
      <x:c r="H11" s="10" t="str">
        <x:f>'Production assets'!F82</x:f>
        <x:v>Not started</x:v>
      </x:c>
      <x:c r="I11" s="10" t="str">
        <x:v>1200 x 1000 WebP crop of shared master</x:v>
      </x:c>
      <x:c r="J11" s="10" t="str">
        <x:v>Existing product image</x:v>
      </x:c>
      <x:c r="K11" s="10" t="str">
        <x:v>/brand/platform/agentic-automation/learning.jpg</x:v>
      </x:c>
      <x:c r="L11" s="10" t="str">
        <x:v>320 x 267</x:v>
      </x:c>
      <x:c r="M11" s="10" t="str">
        <x:v>Ice blue, white, teal, deep green</x:v>
      </x:c>
      <x:c r="N11" s="10" t="str">
        <x:v>Preserve the existing CSS gradient. Export foreground separately with transparent background. Keep key UI within the central 80%.</x:v>
      </x:c>
      <x:c r="O11" s="10" t="str">
        <x:v>http://localhost:3000/platform/agentic-automation#learning</x:v>
      </x:c>
    </x:row>
    <x:row r="12" ht="51" customHeight="1">
      <x:c r="A12" s="5" t="str">
        <x:v>P11-07</x:v>
      </x:c>
      <x:c r="B12" s="5" t="str">
        <x:v>Agentic Automation</x:v>
      </x:c>
      <x:c r="C12" s="5" t="str">
        <x:v>Feature card</x:v>
      </x:c>
      <x:c r="D12" s="5" t="str">
        <x:v>Define a successful outcome.</x:v>
      </x:c>
      <x:c r="E12" s="5" t="str">
        <x:v>A078</x:v>
      </x:c>
      <x:c r="F12" s="5" t="str">
        <x:v>An outcome rubric beside a workflow result, with expected fields and a review state.</x:v>
      </x:c>
      <x:c r="G12" s="5" t="str">
        <x:v>Rework</x:v>
      </x:c>
      <x:c r="H12" s="5" t="str">
        <x:f>'Production assets'!F83</x:f>
        <x:v>Not started</x:v>
      </x:c>
      <x:c r="I12" s="5" t="str">
        <x:v>1200 x 1000 WebP crop of shared master</x:v>
      </x:c>
      <x:c r="J12" s="5" t="str">
        <x:v>Existing product image</x:v>
      </x:c>
      <x:c r="K12" s="5" t="str">
        <x:v>/brand/platform/agentic-automation/evaluations.jpg</x:v>
      </x:c>
      <x:c r="L12" s="5" t="str">
        <x:v>320 x 267</x:v>
      </x:c>
      <x:c r="M12" s="5" t="str">
        <x:v>Ice blue, white, teal, deep green</x:v>
      </x:c>
      <x:c r="N12" s="5" t="str">
        <x:v>Preserve the existing CSS gradient. Export foreground separately with transparent background. Keep key UI within the central 80%.</x:v>
      </x:c>
      <x:c r="O12" s="5" t="str">
        <x:v>http://localhost:3000/platform/agentic-automation#evaluations</x:v>
      </x:c>
    </x:row>
    <x:row r="13" ht="51" customHeight="1">
      <x:c r="A13" s="10" t="str">
        <x:v>P11-08</x:v>
      </x:c>
      <x:c r="B13" s="10" t="str">
        <x:v>Agentic Automation</x:v>
      </x:c>
      <x:c r="C13" s="10" t="str">
        <x:v>Feature card</x:v>
      </x:c>
      <x:c r="D13" s="10" t="str">
        <x:v>Put people at the right decision points.</x:v>
      </x:c>
      <x:c r="E13" s="10" t="str">
        <x:v>A079</x:v>
      </x:c>
      <x:c r="F13" s="10" t="str">
        <x:v>An approval gate inserted before a consequential workflow action.</x:v>
      </x:c>
      <x:c r="G13" s="10" t="str">
        <x:v>Rework</x:v>
      </x:c>
      <x:c r="H13" s="10" t="str">
        <x:f>'Production assets'!F84</x:f>
        <x:v>Not started</x:v>
      </x:c>
      <x:c r="I13" s="10" t="str">
        <x:v>1200 x 1000 WebP crop of shared master</x:v>
      </x:c>
      <x:c r="J13" s="10" t="str">
        <x:v>Existing product image</x:v>
      </x:c>
      <x:c r="K13" s="10" t="str">
        <x:v>/brand/platform/agentic-automation/oversight.jpg</x:v>
      </x:c>
      <x:c r="L13" s="10" t="str">
        <x:v>320 x 267</x:v>
      </x:c>
      <x:c r="M13" s="10" t="str">
        <x:v>Ice blue, white, teal, deep green</x:v>
      </x:c>
      <x:c r="N13" s="10" t="str">
        <x:v>Preserve the existing CSS gradient. Export foreground separately with transparent background. Keep key UI within the central 80%.</x:v>
      </x:c>
      <x:c r="O13" s="10" t="str">
        <x:v>http://localhost:3000/platform/agentic-automation#oversight</x:v>
      </x:c>
    </x:row>
    <x:row r="14" ht="51" customHeight="1">
      <x:c r="A14" s="5" t="str">
        <x:v>P11-09</x:v>
      </x:c>
      <x:c r="B14" s="5" t="str">
        <x:v>Agentic Automation</x:v>
      </x:c>
      <x:c r="C14" s="5" t="str">
        <x:v>Feature card</x:v>
      </x:c>
      <x:c r="D14" s="5" t="str">
        <x:v>Make every handoff intentional.</x:v>
      </x:c>
      <x:c r="E14" s="5" t="str">
        <x:v>A080</x:v>
      </x:c>
      <x:c r="F14" s="5" t="str">
        <x:v>An agent handoff map showing each owner and the context transferred at every step.</x:v>
      </x:c>
      <x:c r="G14" s="5" t="str">
        <x:v>Rework</x:v>
      </x:c>
      <x:c r="H14" s="5" t="str">
        <x:f>'Production assets'!F85</x:f>
        <x:v>Not started</x:v>
      </x:c>
      <x:c r="I14" s="5" t="str">
        <x:v>1200 x 1000 WebP crop of shared master</x:v>
      </x:c>
      <x:c r="J14" s="5" t="str">
        <x:v>Existing product image</x:v>
      </x:c>
      <x:c r="K14" s="5" t="str">
        <x:v>/brand/platform/agentic-automation/orchestration.jpg</x:v>
      </x:c>
      <x:c r="L14" s="5" t="str">
        <x:v>320 x 267</x:v>
      </x:c>
      <x:c r="M14" s="5" t="str">
        <x:v>Ice blue, white, teal, deep green</x:v>
      </x:c>
      <x:c r="N14" s="5" t="str">
        <x:v>Preserve the existing CSS gradient. Export foreground separately with transparent background. Keep key UI within the central 80%.</x:v>
      </x:c>
      <x:c r="O14" s="5" t="str">
        <x:v>http://localhost:3000/platform/agentic-automation#orchestration</x:v>
      </x:c>
    </x:row>
    <x:row r="15" ht="51" customHeight="1">
      <x:c r="A15" s="10" t="str">
        <x:v>P11-10</x:v>
      </x:c>
      <x:c r="B15" s="10" t="str">
        <x:v>Agentic Automation</x:v>
      </x:c>
      <x:c r="C15" s="10" t="str">
        <x:v>Feature card</x:v>
      </x:c>
      <x:c r="D15" s="10" t="str">
        <x:v>Prepare for everyday use.</x:v>
      </x:c>
      <x:c r="E15" s="10" t="str">
        <x:v>A081</x:v>
      </x:c>
      <x:c r="F15" s="10" t="str">
        <x:v>A workflow operations panel with run status, exception queue and assigned reviewer.</x:v>
      </x:c>
      <x:c r="G15" s="10" t="str">
        <x:v>Rework</x:v>
      </x:c>
      <x:c r="H15" s="10" t="str">
        <x:f>'Production assets'!F86</x:f>
        <x:v>Not started</x:v>
      </x:c>
      <x:c r="I15" s="10" t="str">
        <x:v>1200 x 1000 WebP crop of shared master</x:v>
      </x:c>
      <x:c r="J15" s="10" t="str">
        <x:v>Existing product image</x:v>
      </x:c>
      <x:c r="K15" s="10" t="str">
        <x:v>/brand/platform/agentic-automation/reasoning.jpg</x:v>
      </x:c>
      <x:c r="L15" s="10" t="str">
        <x:v>320 x 267</x:v>
      </x:c>
      <x:c r="M15" s="10" t="str">
        <x:v>Ice blue, white, teal, deep green</x:v>
      </x:c>
      <x:c r="N15" s="10" t="str">
        <x:v>Preserve the existing CSS gradient. Export foreground separately with transparent background. Keep key UI within the central 80%.</x:v>
      </x:c>
      <x:c r="O15" s="10" t="str">
        <x:v>http://localhost:3000/platform/agentic-automation#operations</x:v>
      </x:c>
    </x:row>
    <x:row r="16" ht="51" customHeight="1">
      <x:c r="A16" s="5" t="str">
        <x:v>P11-11</x:v>
      </x:c>
      <x:c r="B16" s="5" t="str">
        <x:v>Agentic Automation</x:v>
      </x:c>
      <x:c r="C16" s="5" t="str">
        <x:v>Feature detail</x:v>
      </x:c>
      <x:c r="D16" s="5" t="str">
        <x:v>Plan the steps. Make room for judgment.</x:v>
      </x:c>
      <x:c r="E16" s="5" t="str">
        <x:v>A074</x:v>
      </x:c>
      <x:c r="F16" s="5" t="str">
        <x:v>A process graph splitting a routine request from an exception that needs reasoning and review.</x:v>
      </x:c>
      <x:c r="G16" s="5" t="str">
        <x:v>Rework</x:v>
      </x:c>
      <x:c r="H16" s="5" t="str">
        <x:f>'Production assets'!F79</x:f>
        <x:v>Not started</x:v>
      </x:c>
      <x:c r="I16" s="5" t="str">
        <x:v>Editable SVG/layers + 1200 x 1200 WebP</x:v>
      </x:c>
      <x:c r="J16" s="5" t="str">
        <x:v>Existing product image</x:v>
      </x:c>
      <x:c r="K16" s="5" t="str">
        <x:v>/brand/platform/agentic-automation/reasoning.jpg</x:v>
      </x:c>
      <x:c r="L16" s="5" t="str">
        <x:v>580 x 580</x:v>
      </x:c>
      <x:c r="M16" s="5" t="str">
        <x:v>Ice blue, white, teal, deep green</x:v>
      </x:c>
      <x:c r="N16" s="5" t="str">
        <x:v>Preserve the existing CSS gradient. Export foreground separately with transparent background. Keep key UI within the central 80%.</x:v>
      </x:c>
      <x:c r="O16" s="5" t="str">
        <x:v>http://localhost:3000/platform/agentic-automation#reasoning</x:v>
      </x:c>
    </x:row>
    <x:row r="17" ht="51" customHeight="1">
      <x:c r="A17" s="10" t="str">
        <x:v>P11-12</x:v>
      </x:c>
      <x:c r="B17" s="10" t="str">
        <x:v>Agentic Automation</x:v>
      </x:c>
      <x:c r="C17" s="10" t="str">
        <x:v>Feature detail</x:v>
      </x:c>
      <x:c r="D17" s="10" t="str">
        <x:v>Start with the way information arrives.</x:v>
      </x:c>
      <x:c r="E17" s="10" t="str">
        <x:v>A075</x:v>
      </x:c>
      <x:c r="F17" s="10" t="str">
        <x:v>Email, document and note cards converging into one normalized request record.</x:v>
      </x:c>
      <x:c r="G17" s="10" t="str">
        <x:v>Rework</x:v>
      </x:c>
      <x:c r="H17" s="10" t="str">
        <x:f>'Production assets'!F80</x:f>
        <x:v>Not started</x:v>
      </x:c>
      <x:c r="I17" s="10" t="str">
        <x:v>Editable SVG/layers + 1200 x 1200 WebP</x:v>
      </x:c>
      <x:c r="J17" s="10" t="str">
        <x:v>Existing product image</x:v>
      </x:c>
      <x:c r="K17" s="10" t="str">
        <x:v>/brand/platform/agentic-automation/variety.jpg</x:v>
      </x:c>
      <x:c r="L17" s="10" t="str">
        <x:v>532 x 532</x:v>
      </x:c>
      <x:c r="M17" s="10" t="str">
        <x:v>Ice blue, white, teal, deep green</x:v>
      </x:c>
      <x:c r="N17" s="10" t="str">
        <x:v>Preserve the existing CSS gradient. Export foreground separately with transparent background. Keep key UI within the central 80%.</x:v>
      </x:c>
      <x:c r="O17" s="10" t="str">
        <x:v>http://localhost:3000/platform/agentic-automation#variety</x:v>
      </x:c>
    </x:row>
    <x:row r="18" ht="51" customHeight="1">
      <x:c r="A18" s="5" t="str">
        <x:v>P11-13</x:v>
      </x:c>
      <x:c r="B18" s="5" t="str">
        <x:v>Agentic Automation</x:v>
      </x:c>
      <x:c r="C18" s="5" t="str">
        <x:v>Feature detail</x:v>
      </x:c>
      <x:c r="D18" s="5" t="str">
        <x:v>Connect the tools involved in the task.</x:v>
      </x:c>
      <x:c r="E18" s="5" t="str">
        <x:v>A076</x:v>
      </x:c>
      <x:c r="F18" s="5" t="str">
        <x:v>A workflow connecting its inbox, shared record and action tools with scoped handoffs.</x:v>
      </x:c>
      <x:c r="G18" s="5" t="str">
        <x:v>Rework</x:v>
      </x:c>
      <x:c r="H18" s="5" t="str">
        <x:f>'Production assets'!F81</x:f>
        <x:v>Not started</x:v>
      </x:c>
      <x:c r="I18" s="5" t="str">
        <x:v>Editable SVG/layers + 1200 x 1200 WebP</x:v>
      </x:c>
      <x:c r="J18" s="5" t="str">
        <x:v>Existing product image</x:v>
      </x:c>
      <x:c r="K18" s="5" t="str">
        <x:v>/brand/platform/agentic-automation/integrations.jpg</x:v>
      </x:c>
      <x:c r="L18" s="5" t="str">
        <x:v>580 x 580</x:v>
      </x:c>
      <x:c r="M18" s="5" t="str">
        <x:v>Ice blue, white, teal, deep green</x:v>
      </x:c>
      <x:c r="N18" s="5" t="str">
        <x:v>Preserve the existing CSS gradient. Export foreground separately with transparent background. Keep key UI within the central 80%.</x:v>
      </x:c>
      <x:c r="O18" s="5" t="str">
        <x:v>http://localhost:3000/platform/agentic-automation#integrations</x:v>
      </x:c>
    </x:row>
    <x:row r="19" ht="51" customHeight="1">
      <x:c r="A19" s="10" t="str">
        <x:v>P11-14</x:v>
      </x:c>
      <x:c r="B19" s="10" t="str">
        <x:v>Agentic Automation</x:v>
      </x:c>
      <x:c r="C19" s="10" t="str">
        <x:v>Feature detail</x:v>
      </x:c>
      <x:c r="D19" s="10" t="str">
        <x:v>Use experience to refine the process.</x:v>
      </x:c>
      <x:c r="E19" s="10" t="str">
        <x:v>A077</x:v>
      </x:c>
      <x:c r="F19" s="10" t="str">
        <x:v>A reviewed correction feeding a proposed workflow revision and a retest.</x:v>
      </x:c>
      <x:c r="G19" s="10" t="str">
        <x:v>Rework</x:v>
      </x:c>
      <x:c r="H19" s="10" t="str">
        <x:f>'Production assets'!F82</x:f>
        <x:v>Not started</x:v>
      </x:c>
      <x:c r="I19" s="10" t="str">
        <x:v>Editable SVG/layers + 1200 x 1200 WebP</x:v>
      </x:c>
      <x:c r="J19" s="10" t="str">
        <x:v>Existing product image</x:v>
      </x:c>
      <x:c r="K19" s="10" t="str">
        <x:v>/brand/platform/agentic-automation/learning.jpg</x:v>
      </x:c>
      <x:c r="L19" s="10" t="str">
        <x:v>532 x 532</x:v>
      </x:c>
      <x:c r="M19" s="10" t="str">
        <x:v>Ice blue, white, teal, deep green</x:v>
      </x:c>
      <x:c r="N19" s="10" t="str">
        <x:v>Preserve the existing CSS gradient. Export foreground separately with transparent background. Keep key UI within the central 80%.</x:v>
      </x:c>
      <x:c r="O19" s="10" t="str">
        <x:v>http://localhost:3000/platform/agentic-automation#learning</x:v>
      </x:c>
    </x:row>
    <x:row r="20" ht="51" customHeight="1">
      <x:c r="A20" s="5" t="str">
        <x:v>P11-15</x:v>
      </x:c>
      <x:c r="B20" s="5" t="str">
        <x:v>Agentic Automation</x:v>
      </x:c>
      <x:c r="C20" s="5" t="str">
        <x:v>Feature detail</x:v>
      </x:c>
      <x:c r="D20" s="5" t="str">
        <x:v>Define a successful outcome.</x:v>
      </x:c>
      <x:c r="E20" s="5" t="str">
        <x:v>A078</x:v>
      </x:c>
      <x:c r="F20" s="5" t="str">
        <x:v>An outcome rubric beside a workflow result, with expected fields and a review state.</x:v>
      </x:c>
      <x:c r="G20" s="5" t="str">
        <x:v>Rework</x:v>
      </x:c>
      <x:c r="H20" s="5" t="str">
        <x:f>'Production assets'!F83</x:f>
        <x:v>Not started</x:v>
      </x:c>
      <x:c r="I20" s="5" t="str">
        <x:v>Editable SVG/layers + 1200 x 1200 WebP</x:v>
      </x:c>
      <x:c r="J20" s="5" t="str">
        <x:v>Existing product image</x:v>
      </x:c>
      <x:c r="K20" s="5" t="str">
        <x:v>/brand/platform/agentic-automation/evaluations.jpg</x:v>
      </x:c>
      <x:c r="L20" s="5" t="str">
        <x:v>580 x 580</x:v>
      </x:c>
      <x:c r="M20" s="5" t="str">
        <x:v>Ice blue, white, teal, deep green</x:v>
      </x:c>
      <x:c r="N20" s="5" t="str">
        <x:v>Preserve the existing CSS gradient. Export foreground separately with transparent background. Keep key UI within the central 80%.</x:v>
      </x:c>
      <x:c r="O20" s="5" t="str">
        <x:v>http://localhost:3000/platform/agentic-automation#evaluations</x:v>
      </x:c>
    </x:row>
    <x:row r="21" ht="51" customHeight="1">
      <x:c r="A21" s="10" t="str">
        <x:v>P11-16</x:v>
      </x:c>
      <x:c r="B21" s="10" t="str">
        <x:v>Agentic Automation</x:v>
      </x:c>
      <x:c r="C21" s="10" t="str">
        <x:v>Feature detail</x:v>
      </x:c>
      <x:c r="D21" s="10" t="str">
        <x:v>Put people at the right decision points.</x:v>
      </x:c>
      <x:c r="E21" s="10" t="str">
        <x:v>A079</x:v>
      </x:c>
      <x:c r="F21" s="10" t="str">
        <x:v>An approval gate inserted before a consequential workflow action.</x:v>
      </x:c>
      <x:c r="G21" s="10" t="str">
        <x:v>Rework</x:v>
      </x:c>
      <x:c r="H21" s="10" t="str">
        <x:f>'Production assets'!F84</x:f>
        <x:v>Not started</x:v>
      </x:c>
      <x:c r="I21" s="10" t="str">
        <x:v>Editable SVG/layers + 1200 x 1200 WebP</x:v>
      </x:c>
      <x:c r="J21" s="10" t="str">
        <x:v>Existing product image</x:v>
      </x:c>
      <x:c r="K21" s="10" t="str">
        <x:v>/brand/platform/agentic-automation/oversight.jpg</x:v>
      </x:c>
      <x:c r="L21" s="10" t="str">
        <x:v>532 x 532</x:v>
      </x:c>
      <x:c r="M21" s="10" t="str">
        <x:v>Ice blue, white, teal, deep green</x:v>
      </x:c>
      <x:c r="N21" s="10" t="str">
        <x:v>Preserve the existing CSS gradient. Export foreground separately with transparent background. Keep key UI within the central 80%.</x:v>
      </x:c>
      <x:c r="O21" s="10" t="str">
        <x:v>http://localhost:3000/platform/agentic-automation#oversight</x:v>
      </x:c>
    </x:row>
    <x:row r="22" ht="51" customHeight="1">
      <x:c r="A22" s="5" t="str">
        <x:v>P11-17</x:v>
      </x:c>
      <x:c r="B22" s="5" t="str">
        <x:v>Agentic Automation</x:v>
      </x:c>
      <x:c r="C22" s="5" t="str">
        <x:v>Feature detail</x:v>
      </x:c>
      <x:c r="D22" s="5" t="str">
        <x:v>Make every handoff intentional.</x:v>
      </x:c>
      <x:c r="E22" s="5" t="str">
        <x:v>A080</x:v>
      </x:c>
      <x:c r="F22" s="5" t="str">
        <x:v>An agent handoff map showing each owner and the context transferred at every step.</x:v>
      </x:c>
      <x:c r="G22" s="5" t="str">
        <x:v>Rework</x:v>
      </x:c>
      <x:c r="H22" s="5" t="str">
        <x:f>'Production assets'!F85</x:f>
        <x:v>Not started</x:v>
      </x:c>
      <x:c r="I22" s="5" t="str">
        <x:v>Editable SVG/layers + 1200 x 1200 WebP</x:v>
      </x:c>
      <x:c r="J22" s="5" t="str">
        <x:v>Existing product image</x:v>
      </x:c>
      <x:c r="K22" s="5" t="str">
        <x:v>/brand/platform/agentic-automation/orchestration.jpg</x:v>
      </x:c>
      <x:c r="L22" s="5" t="str">
        <x:v>580 x 580</x:v>
      </x:c>
      <x:c r="M22" s="5" t="str">
        <x:v>Ice blue, white, teal, deep green</x:v>
      </x:c>
      <x:c r="N22" s="5" t="str">
        <x:v>Preserve the existing CSS gradient. Export foreground separately with transparent background. Keep key UI within the central 80%.</x:v>
      </x:c>
      <x:c r="O22" s="5" t="str">
        <x:v>http://localhost:3000/platform/agentic-automation#orchestration</x:v>
      </x:c>
    </x:row>
    <x:row r="23" ht="51" customHeight="1">
      <x:c r="A23" s="10" t="str">
        <x:v>P11-18</x:v>
      </x:c>
      <x:c r="B23" s="10" t="str">
        <x:v>Agentic Automation</x:v>
      </x:c>
      <x:c r="C23" s="10" t="str">
        <x:v>Feature detail</x:v>
      </x:c>
      <x:c r="D23" s="10" t="str">
        <x:v>Prepare for everyday use.</x:v>
      </x:c>
      <x:c r="E23" s="10" t="str">
        <x:v>A081</x:v>
      </x:c>
      <x:c r="F23" s="10" t="str">
        <x:v>A workflow operations panel with run status, exception queue and assigned reviewer.</x:v>
      </x:c>
      <x:c r="G23" s="10" t="str">
        <x:v>Rework</x:v>
      </x:c>
      <x:c r="H23" s="10" t="str">
        <x:f>'Production assets'!F86</x:f>
        <x:v>Not started</x:v>
      </x:c>
      <x:c r="I23" s="10" t="str">
        <x:v>Editable SVG/layers + 1200 x 1200 WebP</x:v>
      </x:c>
      <x:c r="J23" s="10" t="str">
        <x:v>Existing product image</x:v>
      </x:c>
      <x:c r="K23" s="10" t="str">
        <x:v>/brand/platform/agentic-automation/reasoning.jpg</x:v>
      </x:c>
      <x:c r="L23" s="10" t="str">
        <x:v>532 x 532</x:v>
      </x:c>
      <x:c r="M23" s="10" t="str">
        <x:v>Ice blue, white, teal, deep green</x:v>
      </x:c>
      <x:c r="N23" s="10" t="str">
        <x:v>Preserve the existing CSS gradient. Export foreground separately with transparent background. Keep key UI within the central 80%.</x:v>
      </x:c>
      <x:c r="O23" s="10" t="str">
        <x:v>http://localhost:3000/platform/agentic-automation#operations</x:v>
      </x:c>
    </x:row>
    <x:row r="24" ht="38" customHeight="1">
      <x:c r="A24" s="5" t="str">
        <x:v>P11-19</x:v>
      </x:c>
      <x:c r="B24" s="5" t="str">
        <x:v>Agentic Automation</x:v>
      </x:c>
      <x:c r="C24" s="5" t="str">
        <x:v>Related product thumbnail</x:v>
      </x:c>
      <x:c r="D24" s="5" t="str">
        <x:v>Platform</x:v>
      </x:c>
      <x:c r="E24" s="5" t="str">
        <x:v>A015</x:v>
      </x:c>
      <x:c r="F24" s="5" t="str">
        <x:v>A compact workspace overview linking agents, tools and shared knowledge.</x:v>
      </x:c>
      <x:c r="G24" s="5" t="str">
        <x:v>Create</x:v>
      </x:c>
      <x:c r="H24" s="5" t="str">
        <x:f>'Production assets'!F20</x:f>
        <x:v>Not started</x:v>
      </x:c>
      <x:c r="I24" s="5" t="str">
        <x:v>Editable SVG + 1200 x 1000 WebP</x:v>
      </x:c>
      <x:c r="J24" s="5" t="str">
        <x:v>Generic star on gradient</x:v>
      </x:c>
      <x:c r="K24" s="5" t="str">
        <x:v>/brand/calendly/assistant-hero.svg + star glyph</x:v>
      </x:c>
      <x:c r="L24" s="5" t="str">
        <x:v>227 x 189</x:v>
      </x:c>
      <x:c r="M24" s="5" t="str">
        <x:v>Ice blue, white, teal, deep green</x:v>
      </x:c>
      <x:c r="N24" s="5" t="str">
        <x:v>Create once and reuse across related-product cards and the Platform card rail. Keep the gradient separate.</x:v>
      </x:c>
      <x:c r="O24" s="5" t="str">
        <x:v>http://localhost:3000/platform/agentic-automation</x:v>
      </x:c>
    </x:row>
    <x:row r="25" ht="38" customHeight="1">
      <x:c r="A25" s="10" t="str">
        <x:v>P11-20</x:v>
      </x:c>
      <x:c r="B25" s="10" t="str">
        <x:v>Agentic Automation</x:v>
      </x:c>
      <x:c r="C25" s="10" t="str">
        <x:v>Related product thumbnail</x:v>
      </x:c>
      <x:c r="D25" s="10" t="str">
        <x:v>Integrations</x:v>
      </x:c>
      <x:c r="E25" s="10" t="str">
        <x:v>A006</x:v>
      </x:c>
      <x:c r="F25" s="10" t="str">
        <x:v>A central Innflow node connected to a small set of tool tiles.</x:v>
      </x:c>
      <x:c r="G25" s="10" t="str">
        <x:v>Create</x:v>
      </x:c>
      <x:c r="H25" s="10" t="str">
        <x:f>'Production assets'!F11</x:f>
        <x:v>Not started</x:v>
      </x:c>
      <x:c r="I25" s="10" t="str">
        <x:v>Editable SVG + 1200 x 1000 WebP</x:v>
      </x:c>
      <x:c r="J25" s="10" t="str">
        <x:v>Generic star on gradient</x:v>
      </x:c>
      <x:c r="K25" s="10" t="str">
        <x:v>/brand/calendly/scheduling-hero.svg + star glyph</x:v>
      </x:c>
      <x:c r="L25" s="10" t="str">
        <x:v>227 x 189</x:v>
      </x:c>
      <x:c r="M25" s="10" t="str">
        <x:v>Sky blue, pale aqua, navy</x:v>
      </x:c>
      <x:c r="N25" s="10" t="str">
        <x:v>Create once and reuse across related-product cards and the Platform card rail. Keep the gradient separate.</x:v>
      </x:c>
      <x:c r="O25" s="10" t="str">
        <x:v>http://localhost:3000/platform/agentic-automation</x:v>
      </x:c>
    </x:row>
    <x:row r="26" ht="38" customHeight="1">
      <x:c r="A26" s="5" t="str">
        <x:v>P11-21</x:v>
      </x:c>
      <x:c r="B26" s="5" t="str">
        <x:v>Agentic Automation</x:v>
      </x:c>
      <x:c r="C26" s="5" t="str">
        <x:v>Related product thumbnail</x:v>
      </x:c>
      <x:c r="D26" s="5" t="str">
        <x:v>Agentic Workflows</x:v>
      </x:c>
      <x:c r="E26" s="5" t="str">
        <x:v>A010</x:v>
      </x:c>
      <x:c r="F26" s="5" t="str">
        <x:v>A compact workflow canvas with trigger, branch and action nodes.</x:v>
      </x:c>
      <x:c r="G26" s="5" t="str">
        <x:v>Create</x:v>
      </x:c>
      <x:c r="H26" s="5" t="str">
        <x:f>'Production assets'!F15</x:f>
        <x:v>Not started</x:v>
      </x:c>
      <x:c r="I26" s="5" t="str">
        <x:v>Editable SVG + 1200 x 1000 WebP</x:v>
      </x:c>
      <x:c r="J26" s="5" t="str">
        <x:v>Generic star on gradient</x:v>
      </x:c>
      <x:c r="K26" s="5" t="str">
        <x:v>/brand/calendly/notetaker-hero.svg + star glyph</x:v>
      </x:c>
      <x:c r="L26" s="5" t="str">
        <x:v>227 x 189</x:v>
      </x:c>
      <x:c r="M26" s="5" t="str">
        <x:v>Navy, blue, blush, lavender</x:v>
      </x:c>
      <x:c r="N26" s="5" t="str">
        <x:v>Create once and reuse across related-product cards and the Platform card rail. Keep the gradient separate.</x:v>
      </x:c>
      <x:c r="O26" s="5" t="str">
        <x:v>http://localhost:3000/platform/agentic-automation</x:v>
      </x:c>
    </x:row>
    <x:row r="27" ht="38" customHeight="1">
      <x:c r="A27" s="10" t="str">
        <x:v>P11-22</x:v>
      </x:c>
      <x:c r="B27" s="10" t="str">
        <x:v>Agentic Automation</x:v>
      </x:c>
      <x:c r="C27" s="10" t="str">
        <x:v>Related product thumbnail</x:v>
      </x:c>
      <x:c r="D27" s="10" t="str">
        <x:v>Agent OS</x:v>
      </x:c>
      <x:c r="E27" s="10" t="str">
        <x:v>A011</x:v>
      </x:c>
      <x:c r="F27" s="10" t="str">
        <x:v>A small orchestration graph connecting agents and shared memory.</x:v>
      </x:c>
      <x:c r="G27" s="10" t="str">
        <x:v>Create</x:v>
      </x:c>
      <x:c r="H27" s="10" t="str">
        <x:f>'Production assets'!F16</x:f>
        <x:v>Not started</x:v>
      </x:c>
      <x:c r="I27" s="10" t="str">
        <x:v>Editable SVG + 1200 x 1000 WebP</x:v>
      </x:c>
      <x:c r="J27" s="10" t="str">
        <x:v>Generic star on gradient</x:v>
      </x:c>
      <x:c r="K27" s="10" t="str">
        <x:v>/brand/calendly/contacts-hero.svg + star glyph</x:v>
      </x:c>
      <x:c r="L27" s="10" t="str">
        <x:v>227 x 189</x:v>
      </x:c>
      <x:c r="M27" s="10" t="str">
        <x:v>Cream, peach, pink, blue</x:v>
      </x:c>
      <x:c r="N27" s="10" t="str">
        <x:v>Create once and reuse across related-product cards and the Platform card rail. Keep the gradient separate.</x:v>
      </x:c>
      <x:c r="O27" s="10" t="str">
        <x:v>http://localhost:3000/platform/agentic-automation</x:v>
      </x:c>
    </x:row>
    <x:row r="28" ht="38" customHeight="1">
      <x:c r="A28" s="5" t="str">
        <x:v>P11-23</x:v>
      </x:c>
      <x:c r="B28" s="5" t="str">
        <x:v>Agentic Automation</x:v>
      </x:c>
      <x:c r="C28" s="5" t="str">
        <x:v>Related product thumbnail</x:v>
      </x:c>
      <x:c r="D28" s="5" t="str">
        <x:v>AI Agents</x:v>
      </x:c>
      <x:c r="E28" s="5" t="str">
        <x:v>A012</x:v>
      </x:c>
      <x:c r="F28" s="5" t="str">
        <x:v>An agent task card with linked evidence and a proposed next action.</x:v>
      </x:c>
      <x:c r="G28" s="5" t="str">
        <x:v>Create</x:v>
      </x:c>
      <x:c r="H28" s="5" t="str">
        <x:f>'Production assets'!F17</x:f>
        <x:v>Not started</x:v>
      </x:c>
      <x:c r="I28" s="5" t="str">
        <x:v>Editable SVG + 1200 x 1000 WebP</x:v>
      </x:c>
      <x:c r="J28" s="5" t="str">
        <x:v>Generic star on gradient</x:v>
      </x:c>
      <x:c r="K28" s="5" t="str">
        <x:v>/brand/calendly/payments-hero.svg + star glyph</x:v>
      </x:c>
      <x:c r="L28" s="5" t="str">
        <x:v>227 x 189</x:v>
      </x:c>
      <x:c r="M28" s="5" t="str">
        <x:v>Pale mint, aqua, blue, navy</x:v>
      </x:c>
      <x:c r="N28" s="5" t="str">
        <x:v>Create once and reuse across related-product cards and the Platform card rail. Keep the gradient separate.</x:v>
      </x:c>
      <x:c r="O28" s="5" t="str">
        <x:v>http://localhost:3000/platform/agentic-automation</x:v>
      </x:c>
    </x:row>
  </x:sheetData>
  <x:pageMargins left="0.7" right="0.7" top="0.75" bottom="0.75" header="0.3" footer="0.3"/>
  <x:tableParts count="1">
    <x:tablePart xmlns:r="http://schemas.openxmlformats.org/officeDocument/2006/relationships" r:id="Rfa1437b1d9004561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4" hidden="0" customWidth="1"/>
    <x:col min="2" max="2" width="25" hidden="0" customWidth="1"/>
    <x:col min="3" max="3" width="24" hidden="0" customWidth="1"/>
    <x:col min="4" max="4" width="40" hidden="0" customWidth="1"/>
    <x:col min="5" max="5" width="12" hidden="0" customWidth="1"/>
    <x:col min="6" max="6" width="76" hidden="0" customWidth="1"/>
    <x:col min="7" max="7" width="14" hidden="0" customWidth="1"/>
    <x:col min="8" max="8" width="17" hidden="0" customWidth="1"/>
    <x:col min="9" max="9" width="40" hidden="0" customWidth="1"/>
    <x:col min="10" max="10" width="28" hidden="0" customWidth="1"/>
    <x:col min="11" max="11" width="65" hidden="0" customWidth="1"/>
    <x:col min="12" max="12" width="18" hidden="0" customWidth="1"/>
    <x:col min="13" max="13" width="30" hidden="0" customWidth="1"/>
    <x:col min="14" max="14" width="65" hidden="0" customWidth="1"/>
    <x:col min="15" max="15" width="6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>
      <x:c r="A2" s="2" t="str">
        <x:v>Self Learning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>
      <x:c r="A3" s="3" t="str">
        <x:v>/platform/self-learning | Scheduling reference. Status links to Production assets.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30" customHeight="1">
      <x:c r="A5" s="9" t="str">
        <x:v>Placement ID</x:v>
      </x:c>
      <x:c r="B5" s="9" t="str">
        <x:v>Page</x:v>
      </x:c>
      <x:c r="C5" s="9" t="str">
        <x:v>Section</x:v>
      </x:c>
      <x:c r="D5" s="9" t="str">
        <x:v>Section title</x:v>
      </x:c>
      <x:c r="E5" s="9" t="str">
        <x:v>Asset ID</x:v>
      </x:c>
      <x:c r="F5" s="9" t="str">
        <x:v>Recommended artwork</x:v>
      </x:c>
      <x:c r="G5" s="9" t="str">
        <x:v>Action</x:v>
      </x:c>
      <x:c r="H5" s="9" t="str">
        <x:v>Status</x:v>
      </x:c>
      <x:c r="I5" s="9" t="str">
        <x:v>Recommended deliverable</x:v>
      </x:c>
      <x:c r="J5" s="9" t="str">
        <x:v>Current artwork</x:v>
      </x:c>
      <x:c r="K5" s="9" t="str">
        <x:v>Current sources</x:v>
      </x:c>
      <x:c r="L5" s="9" t="str">
        <x:v>Desktop size (px)</x:v>
      </x:c>
      <x:c r="M5" s="9" t="str">
        <x:v>Gradient palette</x:v>
      </x:c>
      <x:c r="N5" s="9" t="str">
        <x:v>Reuse and crop notes</x:v>
      </x:c>
      <x:c r="O5" s="9" t="str">
        <x:v>Page reference</x:v>
      </x:c>
    </x:row>
    <x:row r="6" ht="38" customHeight="1">
      <x:c r="A6" s="5" t="str">
        <x:v>P12-01</x:v>
      </x:c>
      <x:c r="B6" s="5" t="str">
        <x:v>Self Learning</x:v>
      </x:c>
      <x:c r="C6" s="5" t="str">
        <x:v>Hero background</x:v>
      </x:c>
      <x:c r="D6" s="5" t="str">
        <x:v>Turn everyday feedback into better workflows.</x:v>
      </x:c>
      <x:c r="E6" s="5" t="str">
        <x:v>A014</x:v>
      </x:c>
      <x:c r="F6" s="5" t="str">
        <x:v>Reuse the existing Paper SVG as a separate background layer. No new background required.</x:v>
      </x:c>
      <x:c r="G6" s="5" t="str">
        <x:v>Reuse</x:v>
      </x:c>
      <x:c r="H6" s="5" t="str">
        <x:f>'Production assets'!F19</x:f>
        <x:v>Existing</x:v>
      </x:c>
      <x:c r="I6" s="5" t="str">
        <x:v>Existing scalable SVG</x:v>
      </x:c>
      <x:c r="J6" s="5" t="str">
        <x:v>Existing background</x:v>
      </x:c>
      <x:c r="K6" s="5" t="str">
        <x:v>/brand/calendly/scheduling-hero.svg</x:v>
      </x:c>
      <x:c r="L6" s="5" t="str">
        <x:v>1387 x 776</x:v>
      </x:c>
      <x:c r="M6" s="5" t="str">
        <x:v>Sky blue, pale aqua, navy</x:v>
      </x:c>
      <x:c r="N6" s="5" t="str">
        <x:v>Shared by every page using this style.</x:v>
      </x:c>
      <x:c r="O6" s="5" t="str">
        <x:v>http://localhost:3000/platform/self-learning</x:v>
      </x:c>
    </x:row>
    <x:row r="7" ht="51" customHeight="1">
      <x:c r="A7" s="10" t="str">
        <x:v>P12-02</x:v>
      </x:c>
      <x:c r="B7" s="10" t="str">
        <x:v>Self Learning</x:v>
      </x:c>
      <x:c r="C7" s="10" t="str">
        <x:v>Capability overview</x:v>
      </x:c>
      <x:c r="D7" s="10" t="str">
        <x:v>Learning workspace</x:v>
      </x:c>
      <x:c r="E7" s="10" t="str">
        <x:v>A082</x:v>
      </x:c>
      <x:c r="F7" s="10" t="str">
        <x:v>An improvement dashboard grouping flagged runs and review opportunities by workflow.</x:v>
      </x:c>
      <x:c r="G7" s="10" t="str">
        <x:v>Rework</x:v>
      </x:c>
      <x:c r="H7" s="10" t="str">
        <x:f>'Production assets'!F87</x:f>
        <x:v>Not started</x:v>
      </x:c>
      <x:c r="I7" s="10" t="str">
        <x:v>Editable SVG/layers + 1200 x 1200 WebP</x:v>
      </x:c>
      <x:c r="J7" s="10" t="str">
        <x:v>Existing product image</x:v>
      </x:c>
      <x:c r="K7" s="10" t="str">
        <x:v>/brand/platform/self-learning/hub-innflow.png</x:v>
      </x:c>
      <x:c r="L7" s="10" t="str">
        <x:v>580 x 580</x:v>
      </x:c>
      <x:c r="M7" s="10" t="str">
        <x:v>Sky blue, pale aqua, navy</x:v>
      </x:c>
      <x:c r="N7" s="10" t="str">
        <x:v>Preserve the existing CSS gradient. Export foreground separately with transparent background. Keep key UI within the central 80%. Reuses the first feature detail artwork.</x:v>
      </x:c>
      <x:c r="O7" s="10" t="str">
        <x:v>http://localhost:3000/platform/self-learning#hub</x:v>
      </x:c>
    </x:row>
    <x:row r="8" ht="51" customHeight="1">
      <x:c r="A8" s="5" t="str">
        <x:v>P12-03</x:v>
      </x:c>
      <x:c r="B8" s="5" t="str">
        <x:v>Self Learning</x:v>
      </x:c>
      <x:c r="C8" s="5" t="str">
        <x:v>Feature card</x:v>
      </x:c>
      <x:c r="D8" s="5" t="str">
        <x:v>Know where to focus next.</x:v>
      </x:c>
      <x:c r="E8" s="5" t="str">
        <x:v>A082</x:v>
      </x:c>
      <x:c r="F8" s="5" t="str">
        <x:v>An improvement dashboard grouping flagged runs and review opportunities by workflow.</x:v>
      </x:c>
      <x:c r="G8" s="5" t="str">
        <x:v>Rework</x:v>
      </x:c>
      <x:c r="H8" s="5" t="str">
        <x:f>'Production assets'!F87</x:f>
        <x:v>Not started</x:v>
      </x:c>
      <x:c r="I8" s="5" t="str">
        <x:v>1200 x 1000 WebP crop of shared master</x:v>
      </x:c>
      <x:c r="J8" s="5" t="str">
        <x:v>Existing product image</x:v>
      </x:c>
      <x:c r="K8" s="5" t="str">
        <x:v>/brand/platform/self-learning/hub-innflow.png</x:v>
      </x:c>
      <x:c r="L8" s="5" t="str">
        <x:v>320 x 267</x:v>
      </x:c>
      <x:c r="M8" s="5" t="str">
        <x:v>Sky blue, pale aqua, navy</x:v>
      </x:c>
      <x:c r="N8" s="5" t="str">
        <x:v>Preserve the existing CSS gradient. Export foreground separately with transparent background. Keep key UI within the central 80%.</x:v>
      </x:c>
      <x:c r="O8" s="5" t="str">
        <x:v>http://localhost:3000/platform/self-learning#hub</x:v>
      </x:c>
    </x:row>
    <x:row r="9" ht="51" customHeight="1">
      <x:c r="A9" s="10" t="str">
        <x:v>P12-04</x:v>
      </x:c>
      <x:c r="B9" s="10" t="str">
        <x:v>Self Learning</x:v>
      </x:c>
      <x:c r="C9" s="10" t="str">
        <x:v>Feature card</x:v>
      </x:c>
      <x:c r="D9" s="10" t="str">
        <x:v>Follow a correction through to a better result.</x:v>
      </x:c>
      <x:c r="E9" s="10" t="str">
        <x:v>A083</x:v>
      </x:c>
      <x:c r="F9" s="10" t="str">
        <x:v>A correction progressing through proposed change, validation and accepted revision.</x:v>
      </x:c>
      <x:c r="G9" s="10" t="str">
        <x:v>Rework</x:v>
      </x:c>
      <x:c r="H9" s="10" t="str">
        <x:f>'Production assets'!F88</x:f>
        <x:v>Not started</x:v>
      </x:c>
      <x:c r="I9" s="10" t="str">
        <x:v>1200 x 1000 WebP crop of shared master</x:v>
      </x:c>
      <x:c r="J9" s="10" t="str">
        <x:v>Existing product image</x:v>
      </x:c>
      <x:c r="K9" s="10" t="str">
        <x:v>/brand/platform/self-learning/process.png</x:v>
      </x:c>
      <x:c r="L9" s="10" t="str">
        <x:v>320 x 267</x:v>
      </x:c>
      <x:c r="M9" s="10" t="str">
        <x:v>Sky blue, pale aqua, navy</x:v>
      </x:c>
      <x:c r="N9" s="10" t="str">
        <x:v>Preserve the existing CSS gradient. Export foreground separately with transparent background. Keep key UI within the central 80%.</x:v>
      </x:c>
      <x:c r="O9" s="10" t="str">
        <x:v>http://localhost:3000/platform/self-learning#process</x:v>
      </x:c>
    </x:row>
    <x:row r="10" ht="51" customHeight="1">
      <x:c r="A10" s="5" t="str">
        <x:v>P12-05</x:v>
      </x:c>
      <x:c r="B10" s="5" t="str">
        <x:v>Self Learning</x:v>
      </x:c>
      <x:c r="C10" s="5" t="str">
        <x:v>Feature card</x:v>
      </x:c>
      <x:c r="D10" s="5" t="str">
        <x:v>Bring your team's working knowledge into the process.</x:v>
      </x:c>
      <x:c r="E10" s="5" t="str">
        <x:v>A084</x:v>
      </x:c>
      <x:c r="F10" s="5" t="str">
        <x:v>A team knowledge library linked to the rules and examples an agent uses.</x:v>
      </x:c>
      <x:c r="G10" s="5" t="str">
        <x:v>Rework</x:v>
      </x:c>
      <x:c r="H10" s="5" t="str">
        <x:f>'Production assets'!F89</x:f>
        <x:v>Not started</x:v>
      </x:c>
      <x:c r="I10" s="5" t="str">
        <x:v>1200 x 1000 WebP crop of shared master</x:v>
      </x:c>
      <x:c r="J10" s="5" t="str">
        <x:v>Existing product image</x:v>
      </x:c>
      <x:c r="K10" s="5" t="str">
        <x:v>/brand/platform/self-learning/domain.png</x:v>
      </x:c>
      <x:c r="L10" s="5" t="str">
        <x:v>320 x 267</x:v>
      </x:c>
      <x:c r="M10" s="5" t="str">
        <x:v>Sky blue, pale aqua, navy</x:v>
      </x:c>
      <x:c r="N10" s="5" t="str">
        <x:v>Preserve the existing CSS gradient. Export foreground separately with transparent background. Keep key UI within the central 80%.</x:v>
      </x:c>
      <x:c r="O10" s="5" t="str">
        <x:v>http://localhost:3000/platform/self-learning#domain</x:v>
      </x:c>
    </x:row>
    <x:row r="11" ht="51" customHeight="1">
      <x:c r="A11" s="10" t="str">
        <x:v>P12-06</x:v>
      </x:c>
      <x:c r="B11" s="10" t="str">
        <x:v>Self Learning</x:v>
      </x:c>
      <x:c r="C11" s="10" t="str">
        <x:v>Feature card</x:v>
      </x:c>
      <x:c r="D11" s="10" t="str">
        <x:v>Revisit assumptions when results change.</x:v>
      </x:c>
      <x:c r="E11" s="10" t="str">
        <x:v>A085</x:v>
      </x:c>
      <x:c r="F11" s="10" t="str">
        <x:v>An incorrect field highlighted beside its corrected value and revised instruction.</x:v>
      </x:c>
      <x:c r="G11" s="10" t="str">
        <x:v>Rework</x:v>
      </x:c>
      <x:c r="H11" s="10" t="str">
        <x:f>'Production assets'!F90</x:f>
        <x:v>Not started</x:v>
      </x:c>
      <x:c r="I11" s="10" t="str">
        <x:v>1200 x 1000 WebP crop of shared master</x:v>
      </x:c>
      <x:c r="J11" s="10" t="str">
        <x:v>Existing product image</x:v>
      </x:c>
      <x:c r="K11" s="10" t="str">
        <x:v>/brand/platform/self-learning/correction.png</x:v>
      </x:c>
      <x:c r="L11" s="10" t="str">
        <x:v>320 x 267</x:v>
      </x:c>
      <x:c r="M11" s="10" t="str">
        <x:v>Sky blue, pale aqua, navy</x:v>
      </x:c>
      <x:c r="N11" s="10" t="str">
        <x:v>Preserve the existing CSS gradient. Export foreground separately with transparent background. Keep key UI within the central 80%.</x:v>
      </x:c>
      <x:c r="O11" s="10" t="str">
        <x:v>http://localhost:3000/platform/self-learning#correction</x:v>
      </x:c>
    </x:row>
    <x:row r="12" ht="51" customHeight="1">
      <x:c r="A12" s="5" t="str">
        <x:v>P12-07</x:v>
      </x:c>
      <x:c r="B12" s="5" t="str">
        <x:v>Self Learning</x:v>
      </x:c>
      <x:c r="C12" s="5" t="str">
        <x:v>Feature card</x:v>
      </x:c>
      <x:c r="D12" s="5" t="str">
        <x:v>Make a useful correction easy to capture.</x:v>
      </x:c>
      <x:c r="E12" s="5" t="str">
        <x:v>A086</x:v>
      </x:c>
      <x:c r="F12" s="5" t="str">
        <x:v>A reviewer annotating an output with a concise correction and supporting example.</x:v>
      </x:c>
      <x:c r="G12" s="5" t="str">
        <x:v>Rework</x:v>
      </x:c>
      <x:c r="H12" s="5" t="str">
        <x:f>'Production assets'!F91</x:f>
        <x:v>Not started</x:v>
      </x:c>
      <x:c r="I12" s="5" t="str">
        <x:v>1200 x 1000 WebP crop of shared master</x:v>
      </x:c>
      <x:c r="J12" s="5" t="str">
        <x:v>Existing product image</x:v>
      </x:c>
      <x:c r="K12" s="5" t="str">
        <x:v>/brand/platform/self-learning/feedback.png</x:v>
      </x:c>
      <x:c r="L12" s="5" t="str">
        <x:v>320 x 267</x:v>
      </x:c>
      <x:c r="M12" s="5" t="str">
        <x:v>Sky blue, pale aqua, navy</x:v>
      </x:c>
      <x:c r="N12" s="5" t="str">
        <x:v>Preserve the existing CSS gradient. Export foreground separately with transparent background. Keep key UI within the central 80%.</x:v>
      </x:c>
      <x:c r="O12" s="5" t="str">
        <x:v>http://localhost:3000/platform/self-learning#feedback</x:v>
      </x:c>
    </x:row>
    <x:row r="13" ht="51" customHeight="1">
      <x:c r="A13" s="10" t="str">
        <x:v>P12-08</x:v>
      </x:c>
      <x:c r="B13" s="10" t="str">
        <x:v>Self Learning</x:v>
      </x:c>
      <x:c r="C13" s="10" t="str">
        <x:v>Feature card</x:v>
      </x:c>
      <x:c r="D13" s="10" t="str">
        <x:v>Check the change before relying on it.</x:v>
      </x:c>
      <x:c r="E13" s="10" t="str">
        <x:v>A087</x:v>
      </x:c>
      <x:c r="F13" s="10" t="str">
        <x:v>A before-and-after test comparison with expected outputs and a review gate.</x:v>
      </x:c>
      <x:c r="G13" s="10" t="str">
        <x:v>Rework</x:v>
      </x:c>
      <x:c r="H13" s="10" t="str">
        <x:f>'Production assets'!F92</x:f>
        <x:v>Not started</x:v>
      </x:c>
      <x:c r="I13" s="10" t="str">
        <x:v>1200 x 1000 WebP crop of shared master</x:v>
      </x:c>
      <x:c r="J13" s="10" t="str">
        <x:v>Existing product image</x:v>
      </x:c>
      <x:c r="K13" s="10" t="str">
        <x:v>/brand/platform/self-learning/validation.png</x:v>
      </x:c>
      <x:c r="L13" s="10" t="str">
        <x:v>320 x 267</x:v>
      </x:c>
      <x:c r="M13" s="10" t="str">
        <x:v>Sky blue, pale aqua, navy</x:v>
      </x:c>
      <x:c r="N13" s="10" t="str">
        <x:v>Preserve the existing CSS gradient. Export foreground separately with transparent background. Keep key UI within the central 80%.</x:v>
      </x:c>
      <x:c r="O13" s="10" t="str">
        <x:v>http://localhost:3000/platform/self-learning#validation</x:v>
      </x:c>
    </x:row>
    <x:row r="14" ht="51" customHeight="1">
      <x:c r="A14" s="5" t="str">
        <x:v>P12-09</x:v>
      </x:c>
      <x:c r="B14" s="5" t="str">
        <x:v>Self Learning</x:v>
      </x:c>
      <x:c r="C14" s="5" t="str">
        <x:v>Feature card</x:v>
      </x:c>
      <x:c r="D14" s="5" t="str">
        <x:v>Look for progress across real work.</x:v>
      </x:c>
      <x:c r="E14" s="5" t="str">
        <x:v>A088</x:v>
      </x:c>
      <x:c r="F14" s="5" t="str">
        <x:v>A trend panel comparing reviewed outcomes across successive workflow versions.</x:v>
      </x:c>
      <x:c r="G14" s="5" t="str">
        <x:v>Rework</x:v>
      </x:c>
      <x:c r="H14" s="5" t="str">
        <x:f>'Production assets'!F93</x:f>
        <x:v>Not started</x:v>
      </x:c>
      <x:c r="I14" s="5" t="str">
        <x:v>1200 x 1000 WebP crop of shared master</x:v>
      </x:c>
      <x:c r="J14" s="5" t="str">
        <x:v>Existing product image</x:v>
      </x:c>
      <x:c r="K14" s="5" t="str">
        <x:v>/brand/platform/self-learning/tracking.png</x:v>
      </x:c>
      <x:c r="L14" s="5" t="str">
        <x:v>320 x 267</x:v>
      </x:c>
      <x:c r="M14" s="5" t="str">
        <x:v>Sky blue, pale aqua, navy</x:v>
      </x:c>
      <x:c r="N14" s="5" t="str">
        <x:v>Preserve the existing CSS gradient. Export foreground separately with transparent background. Keep key UI within the central 80%.</x:v>
      </x:c>
      <x:c r="O14" s="5" t="str">
        <x:v>http://localhost:3000/platform/self-learning#tracking</x:v>
      </x:c>
    </x:row>
    <x:row r="15" ht="51" customHeight="1">
      <x:c r="A15" s="10" t="str">
        <x:v>P12-10</x:v>
      </x:c>
      <x:c r="B15" s="10" t="str">
        <x:v>Self Learning</x:v>
      </x:c>
      <x:c r="C15" s="10" t="str">
        <x:v>Feature card</x:v>
      </x:c>
      <x:c r="D15" s="10" t="str">
        <x:v>Build a review habit your team can sustain.</x:v>
      </x:c>
      <x:c r="E15" s="10" t="str">
        <x:v>A089</x:v>
      </x:c>
      <x:c r="F15" s="10" t="str">
        <x:v>A team review queue with owners, discussion and the next improvement action.</x:v>
      </x:c>
      <x:c r="G15" s="10" t="str">
        <x:v>Rework</x:v>
      </x:c>
      <x:c r="H15" s="10" t="str">
        <x:f>'Production assets'!F94</x:f>
        <x:v>Not started</x:v>
      </x:c>
      <x:c r="I15" s="10" t="str">
        <x:v>1200 x 1000 WebP crop of shared master</x:v>
      </x:c>
      <x:c r="J15" s="10" t="str">
        <x:v>Existing product image</x:v>
      </x:c>
      <x:c r="K15" s="10" t="str">
        <x:v>/brand/platform/self-learning/team.png</x:v>
      </x:c>
      <x:c r="L15" s="10" t="str">
        <x:v>320 x 267</x:v>
      </x:c>
      <x:c r="M15" s="10" t="str">
        <x:v>Sky blue, pale aqua, navy</x:v>
      </x:c>
      <x:c r="N15" s="10" t="str">
        <x:v>Preserve the existing CSS gradient. Export foreground separately with transparent background. Keep key UI within the central 80%.</x:v>
      </x:c>
      <x:c r="O15" s="10" t="str">
        <x:v>http://localhost:3000/platform/self-learning#team</x:v>
      </x:c>
    </x:row>
    <x:row r="16" ht="51" customHeight="1">
      <x:c r="A16" s="5" t="str">
        <x:v>P12-11</x:v>
      </x:c>
      <x:c r="B16" s="5" t="str">
        <x:v>Self Learning</x:v>
      </x:c>
      <x:c r="C16" s="5" t="str">
        <x:v>Feature detail</x:v>
      </x:c>
      <x:c r="D16" s="5" t="str">
        <x:v>Know where to focus next.</x:v>
      </x:c>
      <x:c r="E16" s="5" t="str">
        <x:v>A082</x:v>
      </x:c>
      <x:c r="F16" s="5" t="str">
        <x:v>An improvement dashboard grouping flagged runs and review opportunities by workflow.</x:v>
      </x:c>
      <x:c r="G16" s="5" t="str">
        <x:v>Rework</x:v>
      </x:c>
      <x:c r="H16" s="5" t="str">
        <x:f>'Production assets'!F87</x:f>
        <x:v>Not started</x:v>
      </x:c>
      <x:c r="I16" s="5" t="str">
        <x:v>Editable SVG/layers + 1200 x 1200 WebP</x:v>
      </x:c>
      <x:c r="J16" s="5" t="str">
        <x:v>Existing product image</x:v>
      </x:c>
      <x:c r="K16" s="5" t="str">
        <x:v>/brand/platform/self-learning/hub-innflow.png</x:v>
      </x:c>
      <x:c r="L16" s="5" t="str">
        <x:v>580 x 580</x:v>
      </x:c>
      <x:c r="M16" s="5" t="str">
        <x:v>Sky blue, pale aqua, navy</x:v>
      </x:c>
      <x:c r="N16" s="5" t="str">
        <x:v>Preserve the existing CSS gradient. Export foreground separately with transparent background. Keep key UI within the central 80%.</x:v>
      </x:c>
      <x:c r="O16" s="5" t="str">
        <x:v>http://localhost:3000/platform/self-learning#hub</x:v>
      </x:c>
    </x:row>
    <x:row r="17" ht="51" customHeight="1">
      <x:c r="A17" s="10" t="str">
        <x:v>P12-12</x:v>
      </x:c>
      <x:c r="B17" s="10" t="str">
        <x:v>Self Learning</x:v>
      </x:c>
      <x:c r="C17" s="10" t="str">
        <x:v>Feature detail</x:v>
      </x:c>
      <x:c r="D17" s="10" t="str">
        <x:v>Follow a correction through to a better result.</x:v>
      </x:c>
      <x:c r="E17" s="10" t="str">
        <x:v>A083</x:v>
      </x:c>
      <x:c r="F17" s="10" t="str">
        <x:v>A correction progressing through proposed change, validation and accepted revision.</x:v>
      </x:c>
      <x:c r="G17" s="10" t="str">
        <x:v>Rework</x:v>
      </x:c>
      <x:c r="H17" s="10" t="str">
        <x:f>'Production assets'!F88</x:f>
        <x:v>Not started</x:v>
      </x:c>
      <x:c r="I17" s="10" t="str">
        <x:v>Editable SVG/layers + 1200 x 1200 WebP</x:v>
      </x:c>
      <x:c r="J17" s="10" t="str">
        <x:v>Existing product image</x:v>
      </x:c>
      <x:c r="K17" s="10" t="str">
        <x:v>/brand/platform/self-learning/process.png</x:v>
      </x:c>
      <x:c r="L17" s="10" t="str">
        <x:v>532 x 532</x:v>
      </x:c>
      <x:c r="M17" s="10" t="str">
        <x:v>Sky blue, pale aqua, navy</x:v>
      </x:c>
      <x:c r="N17" s="10" t="str">
        <x:v>Preserve the existing CSS gradient. Export foreground separately with transparent background. Keep key UI within the central 80%.</x:v>
      </x:c>
      <x:c r="O17" s="10" t="str">
        <x:v>http://localhost:3000/platform/self-learning#process</x:v>
      </x:c>
    </x:row>
    <x:row r="18" ht="51" customHeight="1">
      <x:c r="A18" s="5" t="str">
        <x:v>P12-13</x:v>
      </x:c>
      <x:c r="B18" s="5" t="str">
        <x:v>Self Learning</x:v>
      </x:c>
      <x:c r="C18" s="5" t="str">
        <x:v>Feature detail</x:v>
      </x:c>
      <x:c r="D18" s="5" t="str">
        <x:v>Bring your team's working knowledge into the process.</x:v>
      </x:c>
      <x:c r="E18" s="5" t="str">
        <x:v>A084</x:v>
      </x:c>
      <x:c r="F18" s="5" t="str">
        <x:v>A team knowledge library linked to the rules and examples an agent uses.</x:v>
      </x:c>
      <x:c r="G18" s="5" t="str">
        <x:v>Rework</x:v>
      </x:c>
      <x:c r="H18" s="5" t="str">
        <x:f>'Production assets'!F89</x:f>
        <x:v>Not started</x:v>
      </x:c>
      <x:c r="I18" s="5" t="str">
        <x:v>Editable SVG/layers + 1200 x 1200 WebP</x:v>
      </x:c>
      <x:c r="J18" s="5" t="str">
        <x:v>Existing product image</x:v>
      </x:c>
      <x:c r="K18" s="5" t="str">
        <x:v>/brand/platform/self-learning/domain.png</x:v>
      </x:c>
      <x:c r="L18" s="5" t="str">
        <x:v>580 x 580</x:v>
      </x:c>
      <x:c r="M18" s="5" t="str">
        <x:v>Sky blue, pale aqua, navy</x:v>
      </x:c>
      <x:c r="N18" s="5" t="str">
        <x:v>Preserve the existing CSS gradient. Export foreground separately with transparent background. Keep key UI within the central 80%.</x:v>
      </x:c>
      <x:c r="O18" s="5" t="str">
        <x:v>http://localhost:3000/platform/self-learning#domain</x:v>
      </x:c>
    </x:row>
    <x:row r="19" ht="51" customHeight="1">
      <x:c r="A19" s="10" t="str">
        <x:v>P12-14</x:v>
      </x:c>
      <x:c r="B19" s="10" t="str">
        <x:v>Self Learning</x:v>
      </x:c>
      <x:c r="C19" s="10" t="str">
        <x:v>Feature detail</x:v>
      </x:c>
      <x:c r="D19" s="10" t="str">
        <x:v>Revisit assumptions when results change.</x:v>
      </x:c>
      <x:c r="E19" s="10" t="str">
        <x:v>A085</x:v>
      </x:c>
      <x:c r="F19" s="10" t="str">
        <x:v>An incorrect field highlighted beside its corrected value and revised instruction.</x:v>
      </x:c>
      <x:c r="G19" s="10" t="str">
        <x:v>Rework</x:v>
      </x:c>
      <x:c r="H19" s="10" t="str">
        <x:f>'Production assets'!F90</x:f>
        <x:v>Not started</x:v>
      </x:c>
      <x:c r="I19" s="10" t="str">
        <x:v>Editable SVG/layers + 1200 x 1200 WebP</x:v>
      </x:c>
      <x:c r="J19" s="10" t="str">
        <x:v>Existing product image</x:v>
      </x:c>
      <x:c r="K19" s="10" t="str">
        <x:v>/brand/platform/self-learning/correction.png</x:v>
      </x:c>
      <x:c r="L19" s="10" t="str">
        <x:v>532 x 532</x:v>
      </x:c>
      <x:c r="M19" s="10" t="str">
        <x:v>Sky blue, pale aqua, navy</x:v>
      </x:c>
      <x:c r="N19" s="10" t="str">
        <x:v>Preserve the existing CSS gradient. Export foreground separately with transparent background. Keep key UI within the central 80%.</x:v>
      </x:c>
      <x:c r="O19" s="10" t="str">
        <x:v>http://localhost:3000/platform/self-learning#correction</x:v>
      </x:c>
    </x:row>
    <x:row r="20" ht="51" customHeight="1">
      <x:c r="A20" s="5" t="str">
        <x:v>P12-15</x:v>
      </x:c>
      <x:c r="B20" s="5" t="str">
        <x:v>Self Learning</x:v>
      </x:c>
      <x:c r="C20" s="5" t="str">
        <x:v>Feature detail</x:v>
      </x:c>
      <x:c r="D20" s="5" t="str">
        <x:v>Make a useful correction easy to capture.</x:v>
      </x:c>
      <x:c r="E20" s="5" t="str">
        <x:v>A086</x:v>
      </x:c>
      <x:c r="F20" s="5" t="str">
        <x:v>A reviewer annotating an output with a concise correction and supporting example.</x:v>
      </x:c>
      <x:c r="G20" s="5" t="str">
        <x:v>Rework</x:v>
      </x:c>
      <x:c r="H20" s="5" t="str">
        <x:f>'Production assets'!F91</x:f>
        <x:v>Not started</x:v>
      </x:c>
      <x:c r="I20" s="5" t="str">
        <x:v>Editable SVG/layers + 1200 x 1200 WebP</x:v>
      </x:c>
      <x:c r="J20" s="5" t="str">
        <x:v>Existing product image</x:v>
      </x:c>
      <x:c r="K20" s="5" t="str">
        <x:v>/brand/platform/self-learning/feedback.png</x:v>
      </x:c>
      <x:c r="L20" s="5" t="str">
        <x:v>580 x 580</x:v>
      </x:c>
      <x:c r="M20" s="5" t="str">
        <x:v>Sky blue, pale aqua, navy</x:v>
      </x:c>
      <x:c r="N20" s="5" t="str">
        <x:v>Preserve the existing CSS gradient. Export foreground separately with transparent background. Keep key UI within the central 80%.</x:v>
      </x:c>
      <x:c r="O20" s="5" t="str">
        <x:v>http://localhost:3000/platform/self-learning#feedback</x:v>
      </x:c>
    </x:row>
    <x:row r="21" ht="51" customHeight="1">
      <x:c r="A21" s="10" t="str">
        <x:v>P12-16</x:v>
      </x:c>
      <x:c r="B21" s="10" t="str">
        <x:v>Self Learning</x:v>
      </x:c>
      <x:c r="C21" s="10" t="str">
        <x:v>Feature detail</x:v>
      </x:c>
      <x:c r="D21" s="10" t="str">
        <x:v>Check the change before relying on it.</x:v>
      </x:c>
      <x:c r="E21" s="10" t="str">
        <x:v>A087</x:v>
      </x:c>
      <x:c r="F21" s="10" t="str">
        <x:v>A before-and-after test comparison with expected outputs and a review gate.</x:v>
      </x:c>
      <x:c r="G21" s="10" t="str">
        <x:v>Rework</x:v>
      </x:c>
      <x:c r="H21" s="10" t="str">
        <x:f>'Production assets'!F92</x:f>
        <x:v>Not started</x:v>
      </x:c>
      <x:c r="I21" s="10" t="str">
        <x:v>Editable SVG/layers + 1200 x 1200 WebP</x:v>
      </x:c>
      <x:c r="J21" s="10" t="str">
        <x:v>Existing product image</x:v>
      </x:c>
      <x:c r="K21" s="10" t="str">
        <x:v>/brand/platform/self-learning/validation.png</x:v>
      </x:c>
      <x:c r="L21" s="10" t="str">
        <x:v>532 x 532</x:v>
      </x:c>
      <x:c r="M21" s="10" t="str">
        <x:v>Sky blue, pale aqua, navy</x:v>
      </x:c>
      <x:c r="N21" s="10" t="str">
        <x:v>Preserve the existing CSS gradient. Export foreground separately with transparent background. Keep key UI within the central 80%.</x:v>
      </x:c>
      <x:c r="O21" s="10" t="str">
        <x:v>http://localhost:3000/platform/self-learning#validation</x:v>
      </x:c>
    </x:row>
    <x:row r="22" ht="51" customHeight="1">
      <x:c r="A22" s="5" t="str">
        <x:v>P12-17</x:v>
      </x:c>
      <x:c r="B22" s="5" t="str">
        <x:v>Self Learning</x:v>
      </x:c>
      <x:c r="C22" s="5" t="str">
        <x:v>Feature detail</x:v>
      </x:c>
      <x:c r="D22" s="5" t="str">
        <x:v>Look for progress across real work.</x:v>
      </x:c>
      <x:c r="E22" s="5" t="str">
        <x:v>A088</x:v>
      </x:c>
      <x:c r="F22" s="5" t="str">
        <x:v>A trend panel comparing reviewed outcomes across successive workflow versions.</x:v>
      </x:c>
      <x:c r="G22" s="5" t="str">
        <x:v>Rework</x:v>
      </x:c>
      <x:c r="H22" s="5" t="str">
        <x:f>'Production assets'!F93</x:f>
        <x:v>Not started</x:v>
      </x:c>
      <x:c r="I22" s="5" t="str">
        <x:v>Editable SVG/layers + 1200 x 1200 WebP</x:v>
      </x:c>
      <x:c r="J22" s="5" t="str">
        <x:v>Existing product image</x:v>
      </x:c>
      <x:c r="K22" s="5" t="str">
        <x:v>/brand/platform/self-learning/tracking.png</x:v>
      </x:c>
      <x:c r="L22" s="5" t="str">
        <x:v>580 x 580</x:v>
      </x:c>
      <x:c r="M22" s="5" t="str">
        <x:v>Sky blue, pale aqua, navy</x:v>
      </x:c>
      <x:c r="N22" s="5" t="str">
        <x:v>Preserve the existing CSS gradient. Export foreground separately with transparent background. Keep key UI within the central 80%.</x:v>
      </x:c>
      <x:c r="O22" s="5" t="str">
        <x:v>http://localhost:3000/platform/self-learning#tracking</x:v>
      </x:c>
    </x:row>
    <x:row r="23" ht="51" customHeight="1">
      <x:c r="A23" s="10" t="str">
        <x:v>P12-18</x:v>
      </x:c>
      <x:c r="B23" s="10" t="str">
        <x:v>Self Learning</x:v>
      </x:c>
      <x:c r="C23" s="10" t="str">
        <x:v>Feature detail</x:v>
      </x:c>
      <x:c r="D23" s="10" t="str">
        <x:v>Build a review habit your team can sustain.</x:v>
      </x:c>
      <x:c r="E23" s="10" t="str">
        <x:v>A089</x:v>
      </x:c>
      <x:c r="F23" s="10" t="str">
        <x:v>A team review queue with owners, discussion and the next improvement action.</x:v>
      </x:c>
      <x:c r="G23" s="10" t="str">
        <x:v>Rework</x:v>
      </x:c>
      <x:c r="H23" s="10" t="str">
        <x:f>'Production assets'!F94</x:f>
        <x:v>Not started</x:v>
      </x:c>
      <x:c r="I23" s="10" t="str">
        <x:v>Editable SVG/layers + 1200 x 1200 WebP</x:v>
      </x:c>
      <x:c r="J23" s="10" t="str">
        <x:v>Existing product image</x:v>
      </x:c>
      <x:c r="K23" s="10" t="str">
        <x:v>/brand/platform/self-learning/team.png</x:v>
      </x:c>
      <x:c r="L23" s="10" t="str">
        <x:v>532 x 532</x:v>
      </x:c>
      <x:c r="M23" s="10" t="str">
        <x:v>Sky blue, pale aqua, navy</x:v>
      </x:c>
      <x:c r="N23" s="10" t="str">
        <x:v>Preserve the existing CSS gradient. Export foreground separately with transparent background. Keep key UI within the central 80%.</x:v>
      </x:c>
      <x:c r="O23" s="10" t="str">
        <x:v>http://localhost:3000/platform/self-learning#team</x:v>
      </x:c>
    </x:row>
    <x:row r="24" ht="38" customHeight="1">
      <x:c r="A24" s="5" t="str">
        <x:v>P12-19</x:v>
      </x:c>
      <x:c r="B24" s="5" t="str">
        <x:v>Self Learning</x:v>
      </x:c>
      <x:c r="C24" s="5" t="str">
        <x:v>Related product thumbnail</x:v>
      </x:c>
      <x:c r="D24" s="5" t="str">
        <x:v>Platform</x:v>
      </x:c>
      <x:c r="E24" s="5" t="str">
        <x:v>A015</x:v>
      </x:c>
      <x:c r="F24" s="5" t="str">
        <x:v>A compact workspace overview linking agents, tools and shared knowledge.</x:v>
      </x:c>
      <x:c r="G24" s="5" t="str">
        <x:v>Create</x:v>
      </x:c>
      <x:c r="H24" s="5" t="str">
        <x:f>'Production assets'!F20</x:f>
        <x:v>Not started</x:v>
      </x:c>
      <x:c r="I24" s="5" t="str">
        <x:v>Editable SVG + 1200 x 1000 WebP</x:v>
      </x:c>
      <x:c r="J24" s="5" t="str">
        <x:v>Generic star on gradient</x:v>
      </x:c>
      <x:c r="K24" s="5" t="str">
        <x:v>/brand/calendly/assistant-hero.svg + star glyph</x:v>
      </x:c>
      <x:c r="L24" s="5" t="str">
        <x:v>227 x 189</x:v>
      </x:c>
      <x:c r="M24" s="5" t="str">
        <x:v>Ice blue, white, teal, deep green</x:v>
      </x:c>
      <x:c r="N24" s="5" t="str">
        <x:v>Create once and reuse across related-product cards and the Platform card rail. Keep the gradient separate.</x:v>
      </x:c>
      <x:c r="O24" s="5" t="str">
        <x:v>http://localhost:3000/platform/self-learning</x:v>
      </x:c>
    </x:row>
    <x:row r="25" ht="38" customHeight="1">
      <x:c r="A25" s="10" t="str">
        <x:v>P12-20</x:v>
      </x:c>
      <x:c r="B25" s="10" t="str">
        <x:v>Self Learning</x:v>
      </x:c>
      <x:c r="C25" s="10" t="str">
        <x:v>Related product thumbnail</x:v>
      </x:c>
      <x:c r="D25" s="10" t="str">
        <x:v>Integrations</x:v>
      </x:c>
      <x:c r="E25" s="10" t="str">
        <x:v>A006</x:v>
      </x:c>
      <x:c r="F25" s="10" t="str">
        <x:v>A central Innflow node connected to a small set of tool tiles.</x:v>
      </x:c>
      <x:c r="G25" s="10" t="str">
        <x:v>Create</x:v>
      </x:c>
      <x:c r="H25" s="10" t="str">
        <x:f>'Production assets'!F11</x:f>
        <x:v>Not started</x:v>
      </x:c>
      <x:c r="I25" s="10" t="str">
        <x:v>Editable SVG + 1200 x 1000 WebP</x:v>
      </x:c>
      <x:c r="J25" s="10" t="str">
        <x:v>Generic star on gradient</x:v>
      </x:c>
      <x:c r="K25" s="10" t="str">
        <x:v>/brand/calendly/scheduling-hero.svg + star glyph</x:v>
      </x:c>
      <x:c r="L25" s="10" t="str">
        <x:v>227 x 189</x:v>
      </x:c>
      <x:c r="M25" s="10" t="str">
        <x:v>Sky blue, pale aqua, navy</x:v>
      </x:c>
      <x:c r="N25" s="10" t="str">
        <x:v>Create once and reuse across related-product cards and the Platform card rail. Keep the gradient separate.</x:v>
      </x:c>
      <x:c r="O25" s="10" t="str">
        <x:v>http://localhost:3000/platform/self-learning</x:v>
      </x:c>
    </x:row>
    <x:row r="26" ht="38" customHeight="1">
      <x:c r="A26" s="5" t="str">
        <x:v>P12-21</x:v>
      </x:c>
      <x:c r="B26" s="5" t="str">
        <x:v>Self Learning</x:v>
      </x:c>
      <x:c r="C26" s="5" t="str">
        <x:v>Related product thumbnail</x:v>
      </x:c>
      <x:c r="D26" s="5" t="str">
        <x:v>Agentic Workflows</x:v>
      </x:c>
      <x:c r="E26" s="5" t="str">
        <x:v>A010</x:v>
      </x:c>
      <x:c r="F26" s="5" t="str">
        <x:v>A compact workflow canvas with trigger, branch and action nodes.</x:v>
      </x:c>
      <x:c r="G26" s="5" t="str">
        <x:v>Create</x:v>
      </x:c>
      <x:c r="H26" s="5" t="str">
        <x:f>'Production assets'!F15</x:f>
        <x:v>Not started</x:v>
      </x:c>
      <x:c r="I26" s="5" t="str">
        <x:v>Editable SVG + 1200 x 1000 WebP</x:v>
      </x:c>
      <x:c r="J26" s="5" t="str">
        <x:v>Generic star on gradient</x:v>
      </x:c>
      <x:c r="K26" s="5" t="str">
        <x:v>/brand/calendly/notetaker-hero.svg + star glyph</x:v>
      </x:c>
      <x:c r="L26" s="5" t="str">
        <x:v>227 x 189</x:v>
      </x:c>
      <x:c r="M26" s="5" t="str">
        <x:v>Navy, blue, blush, lavender</x:v>
      </x:c>
      <x:c r="N26" s="5" t="str">
        <x:v>Create once and reuse across related-product cards and the Platform card rail. Keep the gradient separate.</x:v>
      </x:c>
      <x:c r="O26" s="5" t="str">
        <x:v>http://localhost:3000/platform/self-learning</x:v>
      </x:c>
    </x:row>
    <x:row r="27" ht="38" customHeight="1">
      <x:c r="A27" s="10" t="str">
        <x:v>P12-22</x:v>
      </x:c>
      <x:c r="B27" s="10" t="str">
        <x:v>Self Learning</x:v>
      </x:c>
      <x:c r="C27" s="10" t="str">
        <x:v>Related product thumbnail</x:v>
      </x:c>
      <x:c r="D27" s="10" t="str">
        <x:v>Agent OS</x:v>
      </x:c>
      <x:c r="E27" s="10" t="str">
        <x:v>A011</x:v>
      </x:c>
      <x:c r="F27" s="10" t="str">
        <x:v>A small orchestration graph connecting agents and shared memory.</x:v>
      </x:c>
      <x:c r="G27" s="10" t="str">
        <x:v>Create</x:v>
      </x:c>
      <x:c r="H27" s="10" t="str">
        <x:f>'Production assets'!F16</x:f>
        <x:v>Not started</x:v>
      </x:c>
      <x:c r="I27" s="10" t="str">
        <x:v>Editable SVG + 1200 x 1000 WebP</x:v>
      </x:c>
      <x:c r="J27" s="10" t="str">
        <x:v>Generic star on gradient</x:v>
      </x:c>
      <x:c r="K27" s="10" t="str">
        <x:v>/brand/calendly/contacts-hero.svg + star glyph</x:v>
      </x:c>
      <x:c r="L27" s="10" t="str">
        <x:v>227 x 189</x:v>
      </x:c>
      <x:c r="M27" s="10" t="str">
        <x:v>Cream, peach, pink, blue</x:v>
      </x:c>
      <x:c r="N27" s="10" t="str">
        <x:v>Create once and reuse across related-product cards and the Platform card rail. Keep the gradient separate.</x:v>
      </x:c>
      <x:c r="O27" s="10" t="str">
        <x:v>http://localhost:3000/platform/self-learning</x:v>
      </x:c>
    </x:row>
    <x:row r="28" ht="38" customHeight="1">
      <x:c r="A28" s="5" t="str">
        <x:v>P12-23</x:v>
      </x:c>
      <x:c r="B28" s="5" t="str">
        <x:v>Self Learning</x:v>
      </x:c>
      <x:c r="C28" s="5" t="str">
        <x:v>Related product thumbnail</x:v>
      </x:c>
      <x:c r="D28" s="5" t="str">
        <x:v>AI Agents</x:v>
      </x:c>
      <x:c r="E28" s="5" t="str">
        <x:v>A012</x:v>
      </x:c>
      <x:c r="F28" s="5" t="str">
        <x:v>An agent task card with linked evidence and a proposed next action.</x:v>
      </x:c>
      <x:c r="G28" s="5" t="str">
        <x:v>Create</x:v>
      </x:c>
      <x:c r="H28" s="5" t="str">
        <x:f>'Production assets'!F17</x:f>
        <x:v>Not started</x:v>
      </x:c>
      <x:c r="I28" s="5" t="str">
        <x:v>Editable SVG + 1200 x 1000 WebP</x:v>
      </x:c>
      <x:c r="J28" s="5" t="str">
        <x:v>Generic star on gradient</x:v>
      </x:c>
      <x:c r="K28" s="5" t="str">
        <x:v>/brand/calendly/payments-hero.svg + star glyph</x:v>
      </x:c>
      <x:c r="L28" s="5" t="str">
        <x:v>227 x 189</x:v>
      </x:c>
      <x:c r="M28" s="5" t="str">
        <x:v>Pale mint, aqua, blue, navy</x:v>
      </x:c>
      <x:c r="N28" s="5" t="str">
        <x:v>Create once and reuse across related-product cards and the Platform card rail. Keep the gradient separate.</x:v>
      </x:c>
      <x:c r="O28" s="5" t="str">
        <x:v>http://localhost:3000/platform/self-learning</x:v>
      </x:c>
    </x:row>
  </x:sheetData>
  <x:pageMargins left="0.7" right="0.7" top="0.75" bottom="0.75" header="0.3" footer="0.3"/>
  <x:tableParts count="1">
    <x:tablePart xmlns:r="http://schemas.openxmlformats.org/officeDocument/2006/relationships" r:id="R8986dbb353c54ec7"/>
  </x:tableParts>
</x:worksheet>
</file>

<file path=xl/worksheets/sheet16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4" hidden="0" customWidth="1"/>
    <x:col min="2" max="2" width="25" hidden="0" customWidth="1"/>
    <x:col min="3" max="3" width="24" hidden="0" customWidth="1"/>
    <x:col min="4" max="4" width="40" hidden="0" customWidth="1"/>
    <x:col min="5" max="5" width="12" hidden="0" customWidth="1"/>
    <x:col min="6" max="6" width="76" hidden="0" customWidth="1"/>
    <x:col min="7" max="7" width="14" hidden="0" customWidth="1"/>
    <x:col min="8" max="8" width="17" hidden="0" customWidth="1"/>
    <x:col min="9" max="9" width="40" hidden="0" customWidth="1"/>
    <x:col min="10" max="10" width="28" hidden="0" customWidth="1"/>
    <x:col min="11" max="11" width="65" hidden="0" customWidth="1"/>
    <x:col min="12" max="12" width="18" hidden="0" customWidth="1"/>
    <x:col min="13" max="13" width="30" hidden="0" customWidth="1"/>
    <x:col min="14" max="14" width="65" hidden="0" customWidth="1"/>
    <x:col min="15" max="15" width="6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>
      <x:c r="A2" s="2" t="str">
        <x:v>Evaluations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>
      <x:c r="A3" s="3" t="str">
        <x:v>/platform/evaluations | Notetaker reference. Status links to Production assets.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30" customHeight="1">
      <x:c r="A5" s="9" t="str">
        <x:v>Placement ID</x:v>
      </x:c>
      <x:c r="B5" s="9" t="str">
        <x:v>Page</x:v>
      </x:c>
      <x:c r="C5" s="9" t="str">
        <x:v>Section</x:v>
      </x:c>
      <x:c r="D5" s="9" t="str">
        <x:v>Section title</x:v>
      </x:c>
      <x:c r="E5" s="9" t="str">
        <x:v>Asset ID</x:v>
      </x:c>
      <x:c r="F5" s="9" t="str">
        <x:v>Recommended artwork</x:v>
      </x:c>
      <x:c r="G5" s="9" t="str">
        <x:v>Action</x:v>
      </x:c>
      <x:c r="H5" s="9" t="str">
        <x:v>Status</x:v>
      </x:c>
      <x:c r="I5" s="9" t="str">
        <x:v>Recommended deliverable</x:v>
      </x:c>
      <x:c r="J5" s="9" t="str">
        <x:v>Current artwork</x:v>
      </x:c>
      <x:c r="K5" s="9" t="str">
        <x:v>Current sources</x:v>
      </x:c>
      <x:c r="L5" s="9" t="str">
        <x:v>Desktop size (px)</x:v>
      </x:c>
      <x:c r="M5" s="9" t="str">
        <x:v>Gradient palette</x:v>
      </x:c>
      <x:c r="N5" s="9" t="str">
        <x:v>Reuse and crop notes</x:v>
      </x:c>
      <x:c r="O5" s="9" t="str">
        <x:v>Page reference</x:v>
      </x:c>
    </x:row>
    <x:row r="6" ht="38" customHeight="1">
      <x:c r="A6" s="5" t="str">
        <x:v>P13-01</x:v>
      </x:c>
      <x:c r="B6" s="5" t="str">
        <x:v>Evaluations</x:v>
      </x:c>
      <x:c r="C6" s="5" t="str">
        <x:v>Hero background</x:v>
      </x:c>
      <x:c r="D6" s="5" t="str">
        <x:v>Know how well your agents handle the work.</x:v>
      </x:c>
      <x:c r="E6" s="5" t="str">
        <x:v>A016</x:v>
      </x:c>
      <x:c r="F6" s="5" t="str">
        <x:v>Reuse the existing Paper SVG as a separate background layer. No new background required.</x:v>
      </x:c>
      <x:c r="G6" s="5" t="str">
        <x:v>Reuse</x:v>
      </x:c>
      <x:c r="H6" s="5" t="str">
        <x:f>'Production assets'!F21</x:f>
        <x:v>Existing</x:v>
      </x:c>
      <x:c r="I6" s="5" t="str">
        <x:v>Existing scalable SVG</x:v>
      </x:c>
      <x:c r="J6" s="5" t="str">
        <x:v>Existing background</x:v>
      </x:c>
      <x:c r="K6" s="5" t="str">
        <x:v>/brand/calendly/notetaker-hero.svg</x:v>
      </x:c>
      <x:c r="L6" s="5" t="str">
        <x:v>1387 x 776</x:v>
      </x:c>
      <x:c r="M6" s="5" t="str">
        <x:v>Navy, blue, blush, lavender</x:v>
      </x:c>
      <x:c r="N6" s="5" t="str">
        <x:v>Shared by every page using this style.</x:v>
      </x:c>
      <x:c r="O6" s="5" t="str">
        <x:v>http://localhost:3000/platform/evaluations</x:v>
      </x:c>
    </x:row>
    <x:row r="7" ht="51" customHeight="1">
      <x:c r="A7" s="10" t="str">
        <x:v>P13-02</x:v>
      </x:c>
      <x:c r="B7" s="10" t="str">
        <x:v>Evaluations</x:v>
      </x:c>
      <x:c r="C7" s="10" t="str">
        <x:v>Capability overview</x:v>
      </x:c>
      <x:c r="D7" s="10" t="str">
        <x:v>Three-layer accuracy</x:v>
      </x:c>
      <x:c r="E7" s="10" t="str">
        <x:v>A090</x:v>
      </x:c>
      <x:c r="F7" s="10" t="str">
        <x:v>An evaluation view drilling from task result to step result to one extracted field.</x:v>
      </x:c>
      <x:c r="G7" s="10" t="str">
        <x:v>Rework</x:v>
      </x:c>
      <x:c r="H7" s="10" t="str">
        <x:f>'Production assets'!F95</x:f>
        <x:v>Not started</x:v>
      </x:c>
      <x:c r="I7" s="10" t="str">
        <x:v>Editable SVG/layers + 1200 x 1200 WebP</x:v>
      </x:c>
      <x:c r="J7" s="10" t="str">
        <x:v>Existing product image</x:v>
      </x:c>
      <x:c r="K7" s="10" t="str">
        <x:v>/brand/platform/evaluations/accuracy.png</x:v>
      </x:c>
      <x:c r="L7" s="10" t="str">
        <x:v>580 x 580</x:v>
      </x:c>
      <x:c r="M7" s="10" t="str">
        <x:v>Navy, blue, blush, lavender</x:v>
      </x:c>
      <x:c r="N7" s="10" t="str">
        <x:v>Preserve the existing CSS gradient. Export foreground separately with transparent background. Keep key UI within the central 80%. Reuses the first feature detail artwork.</x:v>
      </x:c>
      <x:c r="O7" s="10" t="str">
        <x:v>http://localhost:3000/platform/evaluations#accuracy</x:v>
      </x:c>
    </x:row>
    <x:row r="8" ht="51" customHeight="1">
      <x:c r="A8" s="5" t="str">
        <x:v>P13-03</x:v>
      </x:c>
      <x:c r="B8" s="5" t="str">
        <x:v>Evaluations</x:v>
      </x:c>
      <x:c r="C8" s="5" t="str">
        <x:v>Feature card</x:v>
      </x:c>
      <x:c r="D8" s="5" t="str">
        <x:v>See where a result needs attention.</x:v>
      </x:c>
      <x:c r="E8" s="5" t="str">
        <x:v>A090</x:v>
      </x:c>
      <x:c r="F8" s="5" t="str">
        <x:v>An evaluation view drilling from task result to step result to one extracted field.</x:v>
      </x:c>
      <x:c r="G8" s="5" t="str">
        <x:v>Rework</x:v>
      </x:c>
      <x:c r="H8" s="5" t="str">
        <x:f>'Production assets'!F95</x:f>
        <x:v>Not started</x:v>
      </x:c>
      <x:c r="I8" s="5" t="str">
        <x:v>1200 x 1000 WebP crop of shared master</x:v>
      </x:c>
      <x:c r="J8" s="5" t="str">
        <x:v>Existing product image</x:v>
      </x:c>
      <x:c r="K8" s="5" t="str">
        <x:v>/brand/platform/evaluations/accuracy.png</x:v>
      </x:c>
      <x:c r="L8" s="5" t="str">
        <x:v>320 x 267</x:v>
      </x:c>
      <x:c r="M8" s="5" t="str">
        <x:v>Navy, blue, blush, lavender</x:v>
      </x:c>
      <x:c r="N8" s="5" t="str">
        <x:v>Preserve the existing CSS gradient. Export foreground separately with transparent background. Keep key UI within the central 80%.</x:v>
      </x:c>
      <x:c r="O8" s="5" t="str">
        <x:v>http://localhost:3000/platform/evaluations#accuracy</x:v>
      </x:c>
    </x:row>
    <x:row r="9" ht="51" customHeight="1">
      <x:c r="A9" s="10" t="str">
        <x:v>P13-04</x:v>
      </x:c>
      <x:c r="B9" s="10" t="str">
        <x:v>Evaluations</x:v>
      </x:c>
      <x:c r="C9" s="10" t="str">
        <x:v>Feature card</x:v>
      </x:c>
      <x:c r="D9" s="10" t="str">
        <x:v>Set a useful baseline.</x:v>
      </x:c>
      <x:c r="E9" s="10" t="str">
        <x:v>A091</x:v>
      </x:c>
      <x:c r="F9" s="10" t="str">
        <x:v>A human-reviewed reference answer compared side by side with an agent output.</x:v>
      </x:c>
      <x:c r="G9" s="10" t="str">
        <x:v>Rework</x:v>
      </x:c>
      <x:c r="H9" s="10" t="str">
        <x:f>'Production assets'!F96</x:f>
        <x:v>Not started</x:v>
      </x:c>
      <x:c r="I9" s="10" t="str">
        <x:v>1200 x 1000 WebP crop of shared master</x:v>
      </x:c>
      <x:c r="J9" s="10" t="str">
        <x:v>Existing product image</x:v>
      </x:c>
      <x:c r="K9" s="10" t="str">
        <x:v>/brand/platform/evaluations/benchmarks.png</x:v>
      </x:c>
      <x:c r="L9" s="10" t="str">
        <x:v>320 x 267</x:v>
      </x:c>
      <x:c r="M9" s="10" t="str">
        <x:v>Navy, blue, blush, lavender</x:v>
      </x:c>
      <x:c r="N9" s="10" t="str">
        <x:v>Preserve the existing CSS gradient. Export foreground separately with transparent background. Keep key UI within the central 80%.</x:v>
      </x:c>
      <x:c r="O9" s="10" t="str">
        <x:v>http://localhost:3000/platform/evaluations#benchmarks</x:v>
      </x:c>
    </x:row>
    <x:row r="10" ht="51" customHeight="1">
      <x:c r="A10" s="5" t="str">
        <x:v>P13-05</x:v>
      </x:c>
      <x:c r="B10" s="5" t="str">
        <x:v>Evaluations</x:v>
      </x:c>
      <x:c r="C10" s="5" t="str">
        <x:v>Feature card</x:v>
      </x:c>
      <x:c r="D10" s="5" t="str">
        <x:v>Give incomplete work a clear next step.</x:v>
      </x:c>
      <x:c r="E10" s="5" t="str">
        <x:v>A092</x:v>
      </x:c>
      <x:c r="F10" s="5" t="str">
        <x:v>A failed step branching to a bounded retry or an escalation to a person.</x:v>
      </x:c>
      <x:c r="G10" s="5" t="str">
        <x:v>Rework</x:v>
      </x:c>
      <x:c r="H10" s="5" t="str">
        <x:f>'Production assets'!F97</x:f>
        <x:v>Not started</x:v>
      </x:c>
      <x:c r="I10" s="5" t="str">
        <x:v>1200 x 1000 WebP crop of shared master</x:v>
      </x:c>
      <x:c r="J10" s="5" t="str">
        <x:v>Existing product image</x:v>
      </x:c>
      <x:c r="K10" s="5" t="str">
        <x:v>/brand/platform/evaluations/retry.png</x:v>
      </x:c>
      <x:c r="L10" s="5" t="str">
        <x:v>320 x 267</x:v>
      </x:c>
      <x:c r="M10" s="5" t="str">
        <x:v>Navy, blue, blush, lavender</x:v>
      </x:c>
      <x:c r="N10" s="5" t="str">
        <x:v>Preserve the existing CSS gradient. Export foreground separately with transparent background. Keep key UI within the central 80%.</x:v>
      </x:c>
      <x:c r="O10" s="5" t="str">
        <x:v>http://localhost:3000/platform/evaluations#retry</x:v>
      </x:c>
    </x:row>
    <x:row r="11" ht="51" customHeight="1">
      <x:c r="A11" s="10" t="str">
        <x:v>P13-06</x:v>
      </x:c>
      <x:c r="B11" s="10" t="str">
        <x:v>Evaluations</x:v>
      </x:c>
      <x:c r="C11" s="10" t="str">
        <x:v>Feature card</x:v>
      </x:c>
      <x:c r="D11" s="10" t="str">
        <x:v>Define what a correct answer includes.</x:v>
      </x:c>
      <x:c r="E11" s="10" t="str">
        <x:v>A093</x:v>
      </x:c>
      <x:c r="F11" s="10" t="str">
        <x:v>A rubric editor listing required fields and business rules beside a sample result.</x:v>
      </x:c>
      <x:c r="G11" s="10" t="str">
        <x:v>Rework</x:v>
      </x:c>
      <x:c r="H11" s="10" t="str">
        <x:f>'Production assets'!F98</x:f>
        <x:v>Not started</x:v>
      </x:c>
      <x:c r="I11" s="10" t="str">
        <x:v>1200 x 1000 WebP crop of shared master</x:v>
      </x:c>
      <x:c r="J11" s="10" t="str">
        <x:v>Existing product image</x:v>
      </x:c>
      <x:c r="K11" s="10" t="str">
        <x:v>/brand/platform/evaluations/criteria.png</x:v>
      </x:c>
      <x:c r="L11" s="10" t="str">
        <x:v>320 x 267</x:v>
      </x:c>
      <x:c r="M11" s="10" t="str">
        <x:v>Navy, blue, blush, lavender</x:v>
      </x:c>
      <x:c r="N11" s="10" t="str">
        <x:v>Preserve the existing CSS gradient. Export foreground separately with transparent background. Keep key UI within the central 80%.</x:v>
      </x:c>
      <x:c r="O11" s="10" t="str">
        <x:v>http://localhost:3000/platform/evaluations#criteria</x:v>
      </x:c>
    </x:row>
    <x:row r="12" ht="51" customHeight="1">
      <x:c r="A12" s="5" t="str">
        <x:v>P13-07</x:v>
      </x:c>
      <x:c r="B12" s="5" t="str">
        <x:v>Evaluations</x:v>
      </x:c>
      <x:c r="C12" s="5" t="str">
        <x:v>Feature card</x:v>
      </x:c>
      <x:c r="D12" s="5" t="str">
        <x:v>Test against the work you expect.</x:v>
      </x:c>
      <x:c r="E12" s="5" t="str">
        <x:v>A094</x:v>
      </x:c>
      <x:c r="F12" s="5" t="str">
        <x:v>A test case library containing typical inputs and edge cases with expected outcomes.</x:v>
      </x:c>
      <x:c r="G12" s="5" t="str">
        <x:v>Rework</x:v>
      </x:c>
      <x:c r="H12" s="5" t="str">
        <x:f>'Production assets'!F99</x:f>
        <x:v>Not started</x:v>
      </x:c>
      <x:c r="I12" s="5" t="str">
        <x:v>1200 x 1000 WebP crop of shared master</x:v>
      </x:c>
      <x:c r="J12" s="5" t="str">
        <x:v>Existing product image</x:v>
      </x:c>
      <x:c r="K12" s="5" t="str">
        <x:v>/brand/platform/evaluations/datasets-innflow.png</x:v>
      </x:c>
      <x:c r="L12" s="5" t="str">
        <x:v>320 x 267</x:v>
      </x:c>
      <x:c r="M12" s="5" t="str">
        <x:v>Navy, blue, blush, lavender</x:v>
      </x:c>
      <x:c r="N12" s="5" t="str">
        <x:v>Preserve the existing CSS gradient. Export foreground separately with transparent background. Keep key UI within the central 80%.</x:v>
      </x:c>
      <x:c r="O12" s="5" t="str">
        <x:v>http://localhost:3000/platform/evaluations#datasets</x:v>
      </x:c>
    </x:row>
    <x:row r="13" ht="51" customHeight="1">
      <x:c r="A13" s="10" t="str">
        <x:v>P13-08</x:v>
      </x:c>
      <x:c r="B13" s="10" t="str">
        <x:v>Evaluations</x:v>
      </x:c>
      <x:c r="C13" s="10" t="str">
        <x:v>Feature card</x:v>
      </x:c>
      <x:c r="D13" s="10" t="str">
        <x:v>Connect review to the next improvement.</x:v>
      </x:c>
      <x:c r="E13" s="10" t="str">
        <x:v>A095</x:v>
      </x:c>
      <x:c r="F13" s="10" t="str">
        <x:v>A flagged evaluation linked to reviewer feedback and a proposed workflow change.</x:v>
      </x:c>
      <x:c r="G13" s="10" t="str">
        <x:v>Rework</x:v>
      </x:c>
      <x:c r="H13" s="10" t="str">
        <x:f>'Production assets'!F100</x:f>
        <x:v>Not started</x:v>
      </x:c>
      <x:c r="I13" s="10" t="str">
        <x:v>1200 x 1000 WebP crop of shared master</x:v>
      </x:c>
      <x:c r="J13" s="10" t="str">
        <x:v>Existing product image</x:v>
      </x:c>
      <x:c r="K13" s="10" t="str">
        <x:v>/brand/platform/evaluations/feedback.png</x:v>
      </x:c>
      <x:c r="L13" s="10" t="str">
        <x:v>320 x 267</x:v>
      </x:c>
      <x:c r="M13" s="10" t="str">
        <x:v>Navy, blue, blush, lavender</x:v>
      </x:c>
      <x:c r="N13" s="10" t="str">
        <x:v>Preserve the existing CSS gradient. Export foreground separately with transparent background. Keep key UI within the central 80%.</x:v>
      </x:c>
      <x:c r="O13" s="10" t="str">
        <x:v>http://localhost:3000/platform/evaluations#feedback</x:v>
      </x:c>
    </x:row>
    <x:row r="14" ht="51" customHeight="1">
      <x:c r="A14" s="5" t="str">
        <x:v>P13-09</x:v>
      </x:c>
      <x:c r="B14" s="5" t="str">
        <x:v>Evaluations</x:v>
      </x:c>
      <x:c r="C14" s="5" t="str">
        <x:v>Feature card</x:v>
      </x:c>
      <x:c r="D14" s="5" t="str">
        <x:v>Look beyond a completed-task count.</x:v>
      </x:c>
      <x:c r="E14" s="5" t="str">
        <x:v>A096</x:v>
      </x:c>
      <x:c r="F14" s="5" t="str">
        <x:v>An evaluation dashboard combining reviewed accuracy, unresolved issues and outcome quality.</x:v>
      </x:c>
      <x:c r="G14" s="5" t="str">
        <x:v>Rework</x:v>
      </x:c>
      <x:c r="H14" s="5" t="str">
        <x:f>'Production assets'!F101</x:f>
        <x:v>Not started</x:v>
      </x:c>
      <x:c r="I14" s="5" t="str">
        <x:v>1200 x 1000 WebP crop of shared master</x:v>
      </x:c>
      <x:c r="J14" s="5" t="str">
        <x:v>Existing product image</x:v>
      </x:c>
      <x:c r="K14" s="5" t="str">
        <x:v>/brand/platform/evaluations/dashboards.png</x:v>
      </x:c>
      <x:c r="L14" s="5" t="str">
        <x:v>320 x 267</x:v>
      </x:c>
      <x:c r="M14" s="5" t="str">
        <x:v>Navy, blue, blush, lavender</x:v>
      </x:c>
      <x:c r="N14" s="5" t="str">
        <x:v>Preserve the existing CSS gradient. Export foreground separately with transparent background. Keep key UI within the central 80%.</x:v>
      </x:c>
      <x:c r="O14" s="5" t="str">
        <x:v>http://localhost:3000/platform/evaluations#dashboards</x:v>
      </x:c>
    </x:row>
    <x:row r="15" ht="51" customHeight="1">
      <x:c r="A15" s="10" t="str">
        <x:v>P13-10</x:v>
      </x:c>
      <x:c r="B15" s="10" t="str">
        <x:v>Evaluations</x:v>
      </x:c>
      <x:c r="C15" s="10" t="str">
        <x:v>Feature card</x:v>
      </x:c>
      <x:c r="D15" s="10" t="str">
        <x:v>Share the evidence behind progress.</x:v>
      </x:c>
      <x:c r="E15" s="10" t="str">
        <x:v>A097</x:v>
      </x:c>
      <x:c r="F15" s="10" t="str">
        <x:v>A review report combining a small trend, example outcomes and their source evidence.</x:v>
      </x:c>
      <x:c r="G15" s="10" t="str">
        <x:v>Rework</x:v>
      </x:c>
      <x:c r="H15" s="10" t="str">
        <x:f>'Production assets'!F102</x:f>
        <x:v>Not started</x:v>
      </x:c>
      <x:c r="I15" s="10" t="str">
        <x:v>1200 x 1000 WebP crop of shared master</x:v>
      </x:c>
      <x:c r="J15" s="10" t="str">
        <x:v>Existing product image</x:v>
      </x:c>
      <x:c r="K15" s="10" t="str">
        <x:v>/brand/platform/evaluations/reporting.png</x:v>
      </x:c>
      <x:c r="L15" s="10" t="str">
        <x:v>320 x 267</x:v>
      </x:c>
      <x:c r="M15" s="10" t="str">
        <x:v>Navy, blue, blush, lavender</x:v>
      </x:c>
      <x:c r="N15" s="10" t="str">
        <x:v>Preserve the existing CSS gradient. Export foreground separately with transparent background. Keep key UI within the central 80%.</x:v>
      </x:c>
      <x:c r="O15" s="10" t="str">
        <x:v>http://localhost:3000/platform/evaluations#reporting</x:v>
      </x:c>
    </x:row>
    <x:row r="16" ht="51" customHeight="1">
      <x:c r="A16" s="5" t="str">
        <x:v>P13-11</x:v>
      </x:c>
      <x:c r="B16" s="5" t="str">
        <x:v>Evaluations</x:v>
      </x:c>
      <x:c r="C16" s="5" t="str">
        <x:v>Feature detail</x:v>
      </x:c>
      <x:c r="D16" s="5" t="str">
        <x:v>See where a result needs attention.</x:v>
      </x:c>
      <x:c r="E16" s="5" t="str">
        <x:v>A090</x:v>
      </x:c>
      <x:c r="F16" s="5" t="str">
        <x:v>An evaluation view drilling from task result to step result to one extracted field.</x:v>
      </x:c>
      <x:c r="G16" s="5" t="str">
        <x:v>Rework</x:v>
      </x:c>
      <x:c r="H16" s="5" t="str">
        <x:f>'Production assets'!F95</x:f>
        <x:v>Not started</x:v>
      </x:c>
      <x:c r="I16" s="5" t="str">
        <x:v>Editable SVG/layers + 1200 x 1200 WebP</x:v>
      </x:c>
      <x:c r="J16" s="5" t="str">
        <x:v>Existing product image</x:v>
      </x:c>
      <x:c r="K16" s="5" t="str">
        <x:v>/brand/platform/evaluations/accuracy.png</x:v>
      </x:c>
      <x:c r="L16" s="5" t="str">
        <x:v>580 x 580</x:v>
      </x:c>
      <x:c r="M16" s="5" t="str">
        <x:v>Navy, blue, blush, lavender</x:v>
      </x:c>
      <x:c r="N16" s="5" t="str">
        <x:v>Preserve the existing CSS gradient. Export foreground separately with transparent background. Keep key UI within the central 80%.</x:v>
      </x:c>
      <x:c r="O16" s="5" t="str">
        <x:v>http://localhost:3000/platform/evaluations#accuracy</x:v>
      </x:c>
    </x:row>
    <x:row r="17" ht="51" customHeight="1">
      <x:c r="A17" s="10" t="str">
        <x:v>P13-12</x:v>
      </x:c>
      <x:c r="B17" s="10" t="str">
        <x:v>Evaluations</x:v>
      </x:c>
      <x:c r="C17" s="10" t="str">
        <x:v>Feature detail</x:v>
      </x:c>
      <x:c r="D17" s="10" t="str">
        <x:v>Set a useful baseline.</x:v>
      </x:c>
      <x:c r="E17" s="10" t="str">
        <x:v>A091</x:v>
      </x:c>
      <x:c r="F17" s="10" t="str">
        <x:v>A human-reviewed reference answer compared side by side with an agent output.</x:v>
      </x:c>
      <x:c r="G17" s="10" t="str">
        <x:v>Rework</x:v>
      </x:c>
      <x:c r="H17" s="10" t="str">
        <x:f>'Production assets'!F96</x:f>
        <x:v>Not started</x:v>
      </x:c>
      <x:c r="I17" s="10" t="str">
        <x:v>Editable SVG/layers + 1200 x 1200 WebP</x:v>
      </x:c>
      <x:c r="J17" s="10" t="str">
        <x:v>Existing product image</x:v>
      </x:c>
      <x:c r="K17" s="10" t="str">
        <x:v>/brand/platform/evaluations/benchmarks.png</x:v>
      </x:c>
      <x:c r="L17" s="10" t="str">
        <x:v>532 x 532</x:v>
      </x:c>
      <x:c r="M17" s="10" t="str">
        <x:v>Navy, blue, blush, lavender</x:v>
      </x:c>
      <x:c r="N17" s="10" t="str">
        <x:v>Preserve the existing CSS gradient. Export foreground separately with transparent background. Keep key UI within the central 80%.</x:v>
      </x:c>
      <x:c r="O17" s="10" t="str">
        <x:v>http://localhost:3000/platform/evaluations#benchmarks</x:v>
      </x:c>
    </x:row>
    <x:row r="18" ht="51" customHeight="1">
      <x:c r="A18" s="5" t="str">
        <x:v>P13-13</x:v>
      </x:c>
      <x:c r="B18" s="5" t="str">
        <x:v>Evaluations</x:v>
      </x:c>
      <x:c r="C18" s="5" t="str">
        <x:v>Feature detail</x:v>
      </x:c>
      <x:c r="D18" s="5" t="str">
        <x:v>Give incomplete work a clear next step.</x:v>
      </x:c>
      <x:c r="E18" s="5" t="str">
        <x:v>A092</x:v>
      </x:c>
      <x:c r="F18" s="5" t="str">
        <x:v>A failed step branching to a bounded retry or an escalation to a person.</x:v>
      </x:c>
      <x:c r="G18" s="5" t="str">
        <x:v>Rework</x:v>
      </x:c>
      <x:c r="H18" s="5" t="str">
        <x:f>'Production assets'!F97</x:f>
        <x:v>Not started</x:v>
      </x:c>
      <x:c r="I18" s="5" t="str">
        <x:v>Editable SVG/layers + 1200 x 1200 WebP</x:v>
      </x:c>
      <x:c r="J18" s="5" t="str">
        <x:v>Existing product image</x:v>
      </x:c>
      <x:c r="K18" s="5" t="str">
        <x:v>/brand/platform/evaluations/retry.png</x:v>
      </x:c>
      <x:c r="L18" s="5" t="str">
        <x:v>580 x 580</x:v>
      </x:c>
      <x:c r="M18" s="5" t="str">
        <x:v>Navy, blue, blush, lavender</x:v>
      </x:c>
      <x:c r="N18" s="5" t="str">
        <x:v>Preserve the existing CSS gradient. Export foreground separately with transparent background. Keep key UI within the central 80%.</x:v>
      </x:c>
      <x:c r="O18" s="5" t="str">
        <x:v>http://localhost:3000/platform/evaluations#retry</x:v>
      </x:c>
    </x:row>
    <x:row r="19" ht="51" customHeight="1">
      <x:c r="A19" s="10" t="str">
        <x:v>P13-14</x:v>
      </x:c>
      <x:c r="B19" s="10" t="str">
        <x:v>Evaluations</x:v>
      </x:c>
      <x:c r="C19" s="10" t="str">
        <x:v>Feature detail</x:v>
      </x:c>
      <x:c r="D19" s="10" t="str">
        <x:v>Define what a correct answer includes.</x:v>
      </x:c>
      <x:c r="E19" s="10" t="str">
        <x:v>A093</x:v>
      </x:c>
      <x:c r="F19" s="10" t="str">
        <x:v>A rubric editor listing required fields and business rules beside a sample result.</x:v>
      </x:c>
      <x:c r="G19" s="10" t="str">
        <x:v>Rework</x:v>
      </x:c>
      <x:c r="H19" s="10" t="str">
        <x:f>'Production assets'!F98</x:f>
        <x:v>Not started</x:v>
      </x:c>
      <x:c r="I19" s="10" t="str">
        <x:v>Editable SVG/layers + 1200 x 1200 WebP</x:v>
      </x:c>
      <x:c r="J19" s="10" t="str">
        <x:v>Existing product image</x:v>
      </x:c>
      <x:c r="K19" s="10" t="str">
        <x:v>/brand/platform/evaluations/criteria.png</x:v>
      </x:c>
      <x:c r="L19" s="10" t="str">
        <x:v>532 x 532</x:v>
      </x:c>
      <x:c r="M19" s="10" t="str">
        <x:v>Navy, blue, blush, lavender</x:v>
      </x:c>
      <x:c r="N19" s="10" t="str">
        <x:v>Preserve the existing CSS gradient. Export foreground separately with transparent background. Keep key UI within the central 80%.</x:v>
      </x:c>
      <x:c r="O19" s="10" t="str">
        <x:v>http://localhost:3000/platform/evaluations#criteria</x:v>
      </x:c>
    </x:row>
    <x:row r="20" ht="51" customHeight="1">
      <x:c r="A20" s="5" t="str">
        <x:v>P13-15</x:v>
      </x:c>
      <x:c r="B20" s="5" t="str">
        <x:v>Evaluations</x:v>
      </x:c>
      <x:c r="C20" s="5" t="str">
        <x:v>Feature detail</x:v>
      </x:c>
      <x:c r="D20" s="5" t="str">
        <x:v>Test against the work you expect.</x:v>
      </x:c>
      <x:c r="E20" s="5" t="str">
        <x:v>A094</x:v>
      </x:c>
      <x:c r="F20" s="5" t="str">
        <x:v>A test case library containing typical inputs and edge cases with expected outcomes.</x:v>
      </x:c>
      <x:c r="G20" s="5" t="str">
        <x:v>Rework</x:v>
      </x:c>
      <x:c r="H20" s="5" t="str">
        <x:f>'Production assets'!F99</x:f>
        <x:v>Not started</x:v>
      </x:c>
      <x:c r="I20" s="5" t="str">
        <x:v>Editable SVG/layers + 1200 x 1200 WebP</x:v>
      </x:c>
      <x:c r="J20" s="5" t="str">
        <x:v>Existing product image</x:v>
      </x:c>
      <x:c r="K20" s="5" t="str">
        <x:v>/brand/platform/evaluations/datasets-innflow.png</x:v>
      </x:c>
      <x:c r="L20" s="5" t="str">
        <x:v>580 x 580</x:v>
      </x:c>
      <x:c r="M20" s="5" t="str">
        <x:v>Navy, blue, blush, lavender</x:v>
      </x:c>
      <x:c r="N20" s="5" t="str">
        <x:v>Preserve the existing CSS gradient. Export foreground separately with transparent background. Keep key UI within the central 80%.</x:v>
      </x:c>
      <x:c r="O20" s="5" t="str">
        <x:v>http://localhost:3000/platform/evaluations#datasets</x:v>
      </x:c>
    </x:row>
    <x:row r="21" ht="51" customHeight="1">
      <x:c r="A21" s="10" t="str">
        <x:v>P13-16</x:v>
      </x:c>
      <x:c r="B21" s="10" t="str">
        <x:v>Evaluations</x:v>
      </x:c>
      <x:c r="C21" s="10" t="str">
        <x:v>Feature detail</x:v>
      </x:c>
      <x:c r="D21" s="10" t="str">
        <x:v>Connect review to the next improvement.</x:v>
      </x:c>
      <x:c r="E21" s="10" t="str">
        <x:v>A095</x:v>
      </x:c>
      <x:c r="F21" s="10" t="str">
        <x:v>A flagged evaluation linked to reviewer feedback and a proposed workflow change.</x:v>
      </x:c>
      <x:c r="G21" s="10" t="str">
        <x:v>Rework</x:v>
      </x:c>
      <x:c r="H21" s="10" t="str">
        <x:f>'Production assets'!F100</x:f>
        <x:v>Not started</x:v>
      </x:c>
      <x:c r="I21" s="10" t="str">
        <x:v>Editable SVG/layers + 1200 x 1200 WebP</x:v>
      </x:c>
      <x:c r="J21" s="10" t="str">
        <x:v>Existing product image</x:v>
      </x:c>
      <x:c r="K21" s="10" t="str">
        <x:v>/brand/platform/evaluations/feedback.png</x:v>
      </x:c>
      <x:c r="L21" s="10" t="str">
        <x:v>532 x 532</x:v>
      </x:c>
      <x:c r="M21" s="10" t="str">
        <x:v>Navy, blue, blush, lavender</x:v>
      </x:c>
      <x:c r="N21" s="10" t="str">
        <x:v>Preserve the existing CSS gradient. Export foreground separately with transparent background. Keep key UI within the central 80%.</x:v>
      </x:c>
      <x:c r="O21" s="10" t="str">
        <x:v>http://localhost:3000/platform/evaluations#feedback</x:v>
      </x:c>
    </x:row>
    <x:row r="22" ht="51" customHeight="1">
      <x:c r="A22" s="5" t="str">
        <x:v>P13-17</x:v>
      </x:c>
      <x:c r="B22" s="5" t="str">
        <x:v>Evaluations</x:v>
      </x:c>
      <x:c r="C22" s="5" t="str">
        <x:v>Feature detail</x:v>
      </x:c>
      <x:c r="D22" s="5" t="str">
        <x:v>Look beyond a completed-task count.</x:v>
      </x:c>
      <x:c r="E22" s="5" t="str">
        <x:v>A096</x:v>
      </x:c>
      <x:c r="F22" s="5" t="str">
        <x:v>An evaluation dashboard combining reviewed accuracy, unresolved issues and outcome quality.</x:v>
      </x:c>
      <x:c r="G22" s="5" t="str">
        <x:v>Rework</x:v>
      </x:c>
      <x:c r="H22" s="5" t="str">
        <x:f>'Production assets'!F101</x:f>
        <x:v>Not started</x:v>
      </x:c>
      <x:c r="I22" s="5" t="str">
        <x:v>Editable SVG/layers + 1200 x 1200 WebP</x:v>
      </x:c>
      <x:c r="J22" s="5" t="str">
        <x:v>Existing product image</x:v>
      </x:c>
      <x:c r="K22" s="5" t="str">
        <x:v>/brand/platform/evaluations/dashboards.png</x:v>
      </x:c>
      <x:c r="L22" s="5" t="str">
        <x:v>580 x 580</x:v>
      </x:c>
      <x:c r="M22" s="5" t="str">
        <x:v>Navy, blue, blush, lavender</x:v>
      </x:c>
      <x:c r="N22" s="5" t="str">
        <x:v>Preserve the existing CSS gradient. Export foreground separately with transparent background. Keep key UI within the central 80%.</x:v>
      </x:c>
      <x:c r="O22" s="5" t="str">
        <x:v>http://localhost:3000/platform/evaluations#dashboards</x:v>
      </x:c>
    </x:row>
    <x:row r="23" ht="51" customHeight="1">
      <x:c r="A23" s="10" t="str">
        <x:v>P13-18</x:v>
      </x:c>
      <x:c r="B23" s="10" t="str">
        <x:v>Evaluations</x:v>
      </x:c>
      <x:c r="C23" s="10" t="str">
        <x:v>Feature detail</x:v>
      </x:c>
      <x:c r="D23" s="10" t="str">
        <x:v>Share the evidence behind progress.</x:v>
      </x:c>
      <x:c r="E23" s="10" t="str">
        <x:v>A097</x:v>
      </x:c>
      <x:c r="F23" s="10" t="str">
        <x:v>A review report combining a small trend, example outcomes and their source evidence.</x:v>
      </x:c>
      <x:c r="G23" s="10" t="str">
        <x:v>Rework</x:v>
      </x:c>
      <x:c r="H23" s="10" t="str">
        <x:f>'Production assets'!F102</x:f>
        <x:v>Not started</x:v>
      </x:c>
      <x:c r="I23" s="10" t="str">
        <x:v>Editable SVG/layers + 1200 x 1200 WebP</x:v>
      </x:c>
      <x:c r="J23" s="10" t="str">
        <x:v>Existing product image</x:v>
      </x:c>
      <x:c r="K23" s="10" t="str">
        <x:v>/brand/platform/evaluations/reporting.png</x:v>
      </x:c>
      <x:c r="L23" s="10" t="str">
        <x:v>532 x 532</x:v>
      </x:c>
      <x:c r="M23" s="10" t="str">
        <x:v>Navy, blue, blush, lavender</x:v>
      </x:c>
      <x:c r="N23" s="10" t="str">
        <x:v>Preserve the existing CSS gradient. Export foreground separately with transparent background. Keep key UI within the central 80%.</x:v>
      </x:c>
      <x:c r="O23" s="10" t="str">
        <x:v>http://localhost:3000/platform/evaluations#reporting</x:v>
      </x:c>
    </x:row>
    <x:row r="24" ht="38" customHeight="1">
      <x:c r="A24" s="5" t="str">
        <x:v>P13-19</x:v>
      </x:c>
      <x:c r="B24" s="5" t="str">
        <x:v>Evaluations</x:v>
      </x:c>
      <x:c r="C24" s="5" t="str">
        <x:v>Related product thumbnail</x:v>
      </x:c>
      <x:c r="D24" s="5" t="str">
        <x:v>Platform</x:v>
      </x:c>
      <x:c r="E24" s="5" t="str">
        <x:v>A015</x:v>
      </x:c>
      <x:c r="F24" s="5" t="str">
        <x:v>A compact workspace overview linking agents, tools and shared knowledge.</x:v>
      </x:c>
      <x:c r="G24" s="5" t="str">
        <x:v>Create</x:v>
      </x:c>
      <x:c r="H24" s="5" t="str">
        <x:f>'Production assets'!F20</x:f>
        <x:v>Not started</x:v>
      </x:c>
      <x:c r="I24" s="5" t="str">
        <x:v>Editable SVG + 1200 x 1000 WebP</x:v>
      </x:c>
      <x:c r="J24" s="5" t="str">
        <x:v>Generic star on gradient</x:v>
      </x:c>
      <x:c r="K24" s="5" t="str">
        <x:v>/brand/calendly/assistant-hero.svg + star glyph</x:v>
      </x:c>
      <x:c r="L24" s="5" t="str">
        <x:v>227 x 189</x:v>
      </x:c>
      <x:c r="M24" s="5" t="str">
        <x:v>Ice blue, white, teal, deep green</x:v>
      </x:c>
      <x:c r="N24" s="5" t="str">
        <x:v>Create once and reuse across related-product cards and the Platform card rail. Keep the gradient separate.</x:v>
      </x:c>
      <x:c r="O24" s="5" t="str">
        <x:v>http://localhost:3000/platform/evaluations</x:v>
      </x:c>
    </x:row>
    <x:row r="25" ht="38" customHeight="1">
      <x:c r="A25" s="10" t="str">
        <x:v>P13-20</x:v>
      </x:c>
      <x:c r="B25" s="10" t="str">
        <x:v>Evaluations</x:v>
      </x:c>
      <x:c r="C25" s="10" t="str">
        <x:v>Related product thumbnail</x:v>
      </x:c>
      <x:c r="D25" s="10" t="str">
        <x:v>Integrations</x:v>
      </x:c>
      <x:c r="E25" s="10" t="str">
        <x:v>A006</x:v>
      </x:c>
      <x:c r="F25" s="10" t="str">
        <x:v>A central Innflow node connected to a small set of tool tiles.</x:v>
      </x:c>
      <x:c r="G25" s="10" t="str">
        <x:v>Create</x:v>
      </x:c>
      <x:c r="H25" s="10" t="str">
        <x:f>'Production assets'!F11</x:f>
        <x:v>Not started</x:v>
      </x:c>
      <x:c r="I25" s="10" t="str">
        <x:v>Editable SVG + 1200 x 1000 WebP</x:v>
      </x:c>
      <x:c r="J25" s="10" t="str">
        <x:v>Generic star on gradient</x:v>
      </x:c>
      <x:c r="K25" s="10" t="str">
        <x:v>/brand/calendly/scheduling-hero.svg + star glyph</x:v>
      </x:c>
      <x:c r="L25" s="10" t="str">
        <x:v>227 x 189</x:v>
      </x:c>
      <x:c r="M25" s="10" t="str">
        <x:v>Sky blue, pale aqua, navy</x:v>
      </x:c>
      <x:c r="N25" s="10" t="str">
        <x:v>Create once and reuse across related-product cards and the Platform card rail. Keep the gradient separate.</x:v>
      </x:c>
      <x:c r="O25" s="10" t="str">
        <x:v>http://localhost:3000/platform/evaluations</x:v>
      </x:c>
    </x:row>
    <x:row r="26" ht="38" customHeight="1">
      <x:c r="A26" s="5" t="str">
        <x:v>P13-21</x:v>
      </x:c>
      <x:c r="B26" s="5" t="str">
        <x:v>Evaluations</x:v>
      </x:c>
      <x:c r="C26" s="5" t="str">
        <x:v>Related product thumbnail</x:v>
      </x:c>
      <x:c r="D26" s="5" t="str">
        <x:v>Agentic Workflows</x:v>
      </x:c>
      <x:c r="E26" s="5" t="str">
        <x:v>A010</x:v>
      </x:c>
      <x:c r="F26" s="5" t="str">
        <x:v>A compact workflow canvas with trigger, branch and action nodes.</x:v>
      </x:c>
      <x:c r="G26" s="5" t="str">
        <x:v>Create</x:v>
      </x:c>
      <x:c r="H26" s="5" t="str">
        <x:f>'Production assets'!F15</x:f>
        <x:v>Not started</x:v>
      </x:c>
      <x:c r="I26" s="5" t="str">
        <x:v>Editable SVG + 1200 x 1000 WebP</x:v>
      </x:c>
      <x:c r="J26" s="5" t="str">
        <x:v>Generic star on gradient</x:v>
      </x:c>
      <x:c r="K26" s="5" t="str">
        <x:v>/brand/calendly/notetaker-hero.svg + star glyph</x:v>
      </x:c>
      <x:c r="L26" s="5" t="str">
        <x:v>227 x 189</x:v>
      </x:c>
      <x:c r="M26" s="5" t="str">
        <x:v>Navy, blue, blush, lavender</x:v>
      </x:c>
      <x:c r="N26" s="5" t="str">
        <x:v>Create once and reuse across related-product cards and the Platform card rail. Keep the gradient separate.</x:v>
      </x:c>
      <x:c r="O26" s="5" t="str">
        <x:v>http://localhost:3000/platform/evaluations</x:v>
      </x:c>
    </x:row>
    <x:row r="27" ht="38" customHeight="1">
      <x:c r="A27" s="10" t="str">
        <x:v>P13-22</x:v>
      </x:c>
      <x:c r="B27" s="10" t="str">
        <x:v>Evaluations</x:v>
      </x:c>
      <x:c r="C27" s="10" t="str">
        <x:v>Related product thumbnail</x:v>
      </x:c>
      <x:c r="D27" s="10" t="str">
        <x:v>Agent OS</x:v>
      </x:c>
      <x:c r="E27" s="10" t="str">
        <x:v>A011</x:v>
      </x:c>
      <x:c r="F27" s="10" t="str">
        <x:v>A small orchestration graph connecting agents and shared memory.</x:v>
      </x:c>
      <x:c r="G27" s="10" t="str">
        <x:v>Create</x:v>
      </x:c>
      <x:c r="H27" s="10" t="str">
        <x:f>'Production assets'!F16</x:f>
        <x:v>Not started</x:v>
      </x:c>
      <x:c r="I27" s="10" t="str">
        <x:v>Editable SVG + 1200 x 1000 WebP</x:v>
      </x:c>
      <x:c r="J27" s="10" t="str">
        <x:v>Generic star on gradient</x:v>
      </x:c>
      <x:c r="K27" s="10" t="str">
        <x:v>/brand/calendly/contacts-hero.svg + star glyph</x:v>
      </x:c>
      <x:c r="L27" s="10" t="str">
        <x:v>227 x 189</x:v>
      </x:c>
      <x:c r="M27" s="10" t="str">
        <x:v>Cream, peach, pink, blue</x:v>
      </x:c>
      <x:c r="N27" s="10" t="str">
        <x:v>Create once and reuse across related-product cards and the Platform card rail. Keep the gradient separate.</x:v>
      </x:c>
      <x:c r="O27" s="10" t="str">
        <x:v>http://localhost:3000/platform/evaluations</x:v>
      </x:c>
    </x:row>
    <x:row r="28" ht="38" customHeight="1">
      <x:c r="A28" s="5" t="str">
        <x:v>P13-23</x:v>
      </x:c>
      <x:c r="B28" s="5" t="str">
        <x:v>Evaluations</x:v>
      </x:c>
      <x:c r="C28" s="5" t="str">
        <x:v>Related product thumbnail</x:v>
      </x:c>
      <x:c r="D28" s="5" t="str">
        <x:v>AI Agents</x:v>
      </x:c>
      <x:c r="E28" s="5" t="str">
        <x:v>A012</x:v>
      </x:c>
      <x:c r="F28" s="5" t="str">
        <x:v>An agent task card with linked evidence and a proposed next action.</x:v>
      </x:c>
      <x:c r="G28" s="5" t="str">
        <x:v>Create</x:v>
      </x:c>
      <x:c r="H28" s="5" t="str">
        <x:f>'Production assets'!F17</x:f>
        <x:v>Not started</x:v>
      </x:c>
      <x:c r="I28" s="5" t="str">
        <x:v>Editable SVG + 1200 x 1000 WebP</x:v>
      </x:c>
      <x:c r="J28" s="5" t="str">
        <x:v>Generic star on gradient</x:v>
      </x:c>
      <x:c r="K28" s="5" t="str">
        <x:v>/brand/calendly/payments-hero.svg + star glyph</x:v>
      </x:c>
      <x:c r="L28" s="5" t="str">
        <x:v>227 x 189</x:v>
      </x:c>
      <x:c r="M28" s="5" t="str">
        <x:v>Pale mint, aqua, blue, navy</x:v>
      </x:c>
      <x:c r="N28" s="5" t="str">
        <x:v>Create once and reuse across related-product cards and the Platform card rail. Keep the gradient separate.</x:v>
      </x:c>
      <x:c r="O28" s="5" t="str">
        <x:v>http://localhost:3000/platform/evaluations</x:v>
      </x:c>
    </x:row>
  </x:sheetData>
  <x:pageMargins left="0.7" right="0.7" top="0.75" bottom="0.75" header="0.3" footer="0.3"/>
  <x:tableParts count="1">
    <x:tablePart xmlns:r="http://schemas.openxmlformats.org/officeDocument/2006/relationships" r:id="Rd3abe13033e54a5d"/>
  </x:tableParts>
</x:worksheet>
</file>

<file path=xl/worksheets/sheet17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4" hidden="0" customWidth="1"/>
    <x:col min="2" max="2" width="25" hidden="0" customWidth="1"/>
    <x:col min="3" max="3" width="24" hidden="0" customWidth="1"/>
    <x:col min="4" max="4" width="40" hidden="0" customWidth="1"/>
    <x:col min="5" max="5" width="12" hidden="0" customWidth="1"/>
    <x:col min="6" max="6" width="76" hidden="0" customWidth="1"/>
    <x:col min="7" max="7" width="14" hidden="0" customWidth="1"/>
    <x:col min="8" max="8" width="17" hidden="0" customWidth="1"/>
    <x:col min="9" max="9" width="40" hidden="0" customWidth="1"/>
    <x:col min="10" max="10" width="28" hidden="0" customWidth="1"/>
    <x:col min="11" max="11" width="65" hidden="0" customWidth="1"/>
    <x:col min="12" max="12" width="18" hidden="0" customWidth="1"/>
    <x:col min="13" max="13" width="30" hidden="0" customWidth="1"/>
    <x:col min="14" max="14" width="65" hidden="0" customWidth="1"/>
    <x:col min="15" max="15" width="6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>
      <x:c r="A2" s="2" t="str">
        <x:v>Analytics and Observability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>
      <x:c r="A3" s="3" t="str">
        <x:v>/platform/analytics-and-observability | Contacts reference. Status links to Production assets.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30" customHeight="1">
      <x:c r="A5" s="9" t="str">
        <x:v>Placement ID</x:v>
      </x:c>
      <x:c r="B5" s="9" t="str">
        <x:v>Page</x:v>
      </x:c>
      <x:c r="C5" s="9" t="str">
        <x:v>Section</x:v>
      </x:c>
      <x:c r="D5" s="9" t="str">
        <x:v>Section title</x:v>
      </x:c>
      <x:c r="E5" s="9" t="str">
        <x:v>Asset ID</x:v>
      </x:c>
      <x:c r="F5" s="9" t="str">
        <x:v>Recommended artwork</x:v>
      </x:c>
      <x:c r="G5" s="9" t="str">
        <x:v>Action</x:v>
      </x:c>
      <x:c r="H5" s="9" t="str">
        <x:v>Status</x:v>
      </x:c>
      <x:c r="I5" s="9" t="str">
        <x:v>Recommended deliverable</x:v>
      </x:c>
      <x:c r="J5" s="9" t="str">
        <x:v>Current artwork</x:v>
      </x:c>
      <x:c r="K5" s="9" t="str">
        <x:v>Current sources</x:v>
      </x:c>
      <x:c r="L5" s="9" t="str">
        <x:v>Desktop size (px)</x:v>
      </x:c>
      <x:c r="M5" s="9" t="str">
        <x:v>Gradient palette</x:v>
      </x:c>
      <x:c r="N5" s="9" t="str">
        <x:v>Reuse and crop notes</x:v>
      </x:c>
      <x:c r="O5" s="9" t="str">
        <x:v>Page reference</x:v>
      </x:c>
    </x:row>
    <x:row r="6" ht="38" customHeight="1">
      <x:c r="A6" s="5" t="str">
        <x:v>P14-01</x:v>
      </x:c>
      <x:c r="B6" s="5" t="str">
        <x:v>Analytics and Observability</x:v>
      </x:c>
      <x:c r="C6" s="5" t="str">
        <x:v>Hero background</x:v>
      </x:c>
      <x:c r="D6" s="5" t="str">
        <x:v>Understand every step of your agent workflows.</x:v>
      </x:c>
      <x:c r="E6" s="5" t="str">
        <x:v>A025</x:v>
      </x:c>
      <x:c r="F6" s="5" t="str">
        <x:v>Reuse the existing Paper SVG as a separate background layer. No new background required.</x:v>
      </x:c>
      <x:c r="G6" s="5" t="str">
        <x:v>Reuse</x:v>
      </x:c>
      <x:c r="H6" s="5" t="str">
        <x:f>'Production assets'!F30</x:f>
        <x:v>Existing</x:v>
      </x:c>
      <x:c r="I6" s="5" t="str">
        <x:v>Existing scalable SVG</x:v>
      </x:c>
      <x:c r="J6" s="5" t="str">
        <x:v>Existing background</x:v>
      </x:c>
      <x:c r="K6" s="5" t="str">
        <x:v>/brand/calendly/contacts-hero.svg</x:v>
      </x:c>
      <x:c r="L6" s="5" t="str">
        <x:v>1387 x 776</x:v>
      </x:c>
      <x:c r="M6" s="5" t="str">
        <x:v>Cream, peach, pink, blue</x:v>
      </x:c>
      <x:c r="N6" s="5" t="str">
        <x:v>Shared by every page using this style.</x:v>
      </x:c>
      <x:c r="O6" s="5" t="str">
        <x:v>http://localhost:3000/platform/analytics-and-observability</x:v>
      </x:c>
    </x:row>
    <x:row r="7" ht="51" customHeight="1">
      <x:c r="A7" s="10" t="str">
        <x:v>P14-02</x:v>
      </x:c>
      <x:c r="B7" s="10" t="str">
        <x:v>Analytics and Observability</x:v>
      </x:c>
      <x:c r="C7" s="10" t="str">
        <x:v>Capability overview</x:v>
      </x:c>
      <x:c r="D7" s="10" t="str">
        <x:v>Performance dashboards</x:v>
      </x:c>
      <x:c r="E7" s="10" t="str">
        <x:v>A098</x:v>
      </x:c>
      <x:c r="F7" s="10" t="str">
        <x:v>A workflow dashboard showing run volume, duration and a queue of exceptions.</x:v>
      </x:c>
      <x:c r="G7" s="10" t="str">
        <x:v>Rework</x:v>
      </x:c>
      <x:c r="H7" s="10" t="str">
        <x:f>'Production assets'!F103</x:f>
        <x:v>Not started</x:v>
      </x:c>
      <x:c r="I7" s="10" t="str">
        <x:v>Editable SVG/layers + 1200 x 1200 WebP</x:v>
      </x:c>
      <x:c r="J7" s="10" t="str">
        <x:v>Existing product image</x:v>
      </x:c>
      <x:c r="K7" s="10" t="str">
        <x:v>/brand/platform/analytics-and-observability/performance.png</x:v>
      </x:c>
      <x:c r="L7" s="10" t="str">
        <x:v>580 x 580</x:v>
      </x:c>
      <x:c r="M7" s="10" t="str">
        <x:v>Cream, peach, pink, blue</x:v>
      </x:c>
      <x:c r="N7" s="10" t="str">
        <x:v>Preserve the existing CSS gradient. Export foreground separately with transparent background. Keep key UI within the central 80%. Reuses the first feature detail artwork.</x:v>
      </x:c>
      <x:c r="O7" s="10" t="str">
        <x:v>http://localhost:3000/platform/analytics-and-observability#performance</x:v>
      </x:c>
    </x:row>
    <x:row r="8" ht="51" customHeight="1">
      <x:c r="A8" s="5" t="str">
        <x:v>P14-03</x:v>
      </x:c>
      <x:c r="B8" s="5" t="str">
        <x:v>Analytics and Observability</x:v>
      </x:c>
      <x:c r="C8" s="5" t="str">
        <x:v>Feature card</x:v>
      </x:c>
      <x:c r="D8" s="5" t="str">
        <x:v>See how the operation is moving.</x:v>
      </x:c>
      <x:c r="E8" s="5" t="str">
        <x:v>A098</x:v>
      </x:c>
      <x:c r="F8" s="5" t="str">
        <x:v>A workflow dashboard showing run volume, duration and a queue of exceptions.</x:v>
      </x:c>
      <x:c r="G8" s="5" t="str">
        <x:v>Rework</x:v>
      </x:c>
      <x:c r="H8" s="5" t="str">
        <x:f>'Production assets'!F103</x:f>
        <x:v>Not started</x:v>
      </x:c>
      <x:c r="I8" s="5" t="str">
        <x:v>1200 x 1000 WebP crop of shared master</x:v>
      </x:c>
      <x:c r="J8" s="5" t="str">
        <x:v>Existing product image</x:v>
      </x:c>
      <x:c r="K8" s="5" t="str">
        <x:v>/brand/platform/analytics-and-observability/performance.png</x:v>
      </x:c>
      <x:c r="L8" s="5" t="str">
        <x:v>320 x 267</x:v>
      </x:c>
      <x:c r="M8" s="5" t="str">
        <x:v>Cream, peach, pink, blue</x:v>
      </x:c>
      <x:c r="N8" s="5" t="str">
        <x:v>Preserve the existing CSS gradient. Export foreground separately with transparent background. Keep key UI within the central 80%.</x:v>
      </x:c>
      <x:c r="O8" s="5" t="str">
        <x:v>http://localhost:3000/platform/analytics-and-observability#performance</x:v>
      </x:c>
    </x:row>
    <x:row r="9" ht="51" customHeight="1">
      <x:c r="A9" s="10" t="str">
        <x:v>P14-04</x:v>
      </x:c>
      <x:c r="B9" s="10" t="str">
        <x:v>Analytics and Observability</x:v>
      </x:c>
      <x:c r="C9" s="10" t="str">
        <x:v>Feature card</x:v>
      </x:c>
      <x:c r="D9" s="10" t="str">
        <x:v>Find the source of an incorrect result.</x:v>
      </x:c>
      <x:c r="E9" s="10" t="str">
        <x:v>A099</x:v>
      </x:c>
      <x:c r="F9" s="10" t="str">
        <x:v>A result investigation drilling down to a flagged field and its original source.</x:v>
      </x:c>
      <x:c r="G9" s="10" t="str">
        <x:v>Rework</x:v>
      </x:c>
      <x:c r="H9" s="10" t="str">
        <x:f>'Production assets'!F104</x:f>
        <x:v>Not started</x:v>
      </x:c>
      <x:c r="I9" s="10" t="str">
        <x:v>1200 x 1000 WebP crop of shared master</x:v>
      </x:c>
      <x:c r="J9" s="10" t="str">
        <x:v>Existing product image</x:v>
      </x:c>
      <x:c r="K9" s="10" t="str">
        <x:v>/brand/platform/analytics-and-observability/accuracy.png</x:v>
      </x:c>
      <x:c r="L9" s="10" t="str">
        <x:v>320 x 267</x:v>
      </x:c>
      <x:c r="M9" s="10" t="str">
        <x:v>Cream, peach, pink, blue</x:v>
      </x:c>
      <x:c r="N9" s="10" t="str">
        <x:v>Preserve the existing CSS gradient. Export foreground separately with transparent background. Keep key UI within the central 80%.</x:v>
      </x:c>
      <x:c r="O9" s="10" t="str">
        <x:v>http://localhost:3000/platform/analytics-and-observability#accuracy</x:v>
      </x:c>
    </x:row>
    <x:row r="10" ht="51" customHeight="1">
      <x:c r="A10" s="5" t="str">
        <x:v>P14-05</x:v>
      </x:c>
      <x:c r="B10" s="5" t="str">
        <x:v>Analytics and Observability</x:v>
      </x:c>
      <x:c r="C10" s="5" t="str">
        <x:v>Feature card</x:v>
      </x:c>
      <x:c r="D10" s="5" t="str">
        <x:v>Follow the full sequence.</x:v>
      </x:c>
      <x:c r="E10" s="5" t="str">
        <x:v>A100</x:v>
      </x:c>
      <x:c r="F10" s="5" t="str">
        <x:v>An execution trace with ordered agent and tool spans and one expanded handoff.</x:v>
      </x:c>
      <x:c r="G10" s="5" t="str">
        <x:v>Rework</x:v>
      </x:c>
      <x:c r="H10" s="5" t="str">
        <x:f>'Production assets'!F105</x:f>
        <x:v>Not started</x:v>
      </x:c>
      <x:c r="I10" s="5" t="str">
        <x:v>1200 x 1000 WebP crop of shared master</x:v>
      </x:c>
      <x:c r="J10" s="5" t="str">
        <x:v>Existing product image</x:v>
      </x:c>
      <x:c r="K10" s="5" t="str">
        <x:v>/brand/platform/analytics-and-observability/traces-innflow.png</x:v>
      </x:c>
      <x:c r="L10" s="5" t="str">
        <x:v>320 x 267</x:v>
      </x:c>
      <x:c r="M10" s="5" t="str">
        <x:v>Cream, peach, pink, blue</x:v>
      </x:c>
      <x:c r="N10" s="5" t="str">
        <x:v>Preserve the existing CSS gradient. Export foreground separately with transparent background. Keep key UI within the central 80%.</x:v>
      </x:c>
      <x:c r="O10" s="5" t="str">
        <x:v>http://localhost:3000/platform/analytics-and-observability#traces</x:v>
      </x:c>
    </x:row>
    <x:row r="11" ht="51" customHeight="1">
      <x:c r="A11" s="10" t="str">
        <x:v>P14-06</x:v>
      </x:c>
      <x:c r="B11" s="10" t="str">
        <x:v>Analytics and Observability</x:v>
      </x:c>
      <x:c r="C11" s="10" t="str">
        <x:v>Feature card</x:v>
      </x:c>
      <x:c r="D11" s="10" t="str">
        <x:v>Bring technical signals into the investigation.</x:v>
      </x:c>
      <x:c r="E11" s="10" t="str">
        <x:v>A101</x:v>
      </x:c>
      <x:c r="F11" s="10" t="str">
        <x:v>A searchable log view correlated to a selected workflow run and event timeline.</x:v>
      </x:c>
      <x:c r="G11" s="10" t="str">
        <x:v>Rework</x:v>
      </x:c>
      <x:c r="H11" s="10" t="str">
        <x:f>'Production assets'!F106</x:f>
        <x:v>Not started</x:v>
      </x:c>
      <x:c r="I11" s="10" t="str">
        <x:v>1200 x 1000 WebP crop of shared master</x:v>
      </x:c>
      <x:c r="J11" s="10" t="str">
        <x:v>Existing product image</x:v>
      </x:c>
      <x:c r="K11" s="10" t="str">
        <x:v>/brand/platform/analytics-and-observability/logs-innflow.png</x:v>
      </x:c>
      <x:c r="L11" s="10" t="str">
        <x:v>320 x 267</x:v>
      </x:c>
      <x:c r="M11" s="10" t="str">
        <x:v>Cream, peach, pink, blue</x:v>
      </x:c>
      <x:c r="N11" s="10" t="str">
        <x:v>Preserve the existing CSS gradient. Export foreground separately with transparent background. Keep key UI within the central 80%.</x:v>
      </x:c>
      <x:c r="O11" s="10" t="str">
        <x:v>http://localhost:3000/platform/analytics-and-observability#logs</x:v>
      </x:c>
    </x:row>
    <x:row r="12" ht="51" customHeight="1">
      <x:c r="A12" s="5" t="str">
        <x:v>P14-07</x:v>
      </x:c>
      <x:c r="B12" s="5" t="str">
        <x:v>Analytics and Observability</x:v>
      </x:c>
      <x:c r="C12" s="5" t="str">
        <x:v>Feature card</x:v>
      </x:c>
      <x:c r="D12" s="5" t="str">
        <x:v>Understand the resources behind the work.</x:v>
      </x:c>
      <x:c r="E12" s="5" t="str">
        <x:v>A102</x:v>
      </x:c>
      <x:c r="F12" s="5" t="str">
        <x:v>A resource breakdown by model and workflow with usage and cost categories.</x:v>
      </x:c>
      <x:c r="G12" s="5" t="str">
        <x:v>Rework</x:v>
      </x:c>
      <x:c r="H12" s="5" t="str">
        <x:f>'Production assets'!F107</x:f>
        <x:v>Not started</x:v>
      </x:c>
      <x:c r="I12" s="5" t="str">
        <x:v>1200 x 1000 WebP crop of shared master</x:v>
      </x:c>
      <x:c r="J12" s="5" t="str">
        <x:v>Existing product image</x:v>
      </x:c>
      <x:c r="K12" s="5" t="str">
        <x:v>/brand/platform/analytics-and-observability/costs.png</x:v>
      </x:c>
      <x:c r="L12" s="5" t="str">
        <x:v>320 x 267</x:v>
      </x:c>
      <x:c r="M12" s="5" t="str">
        <x:v>Cream, peach, pink, blue</x:v>
      </x:c>
      <x:c r="N12" s="5" t="str">
        <x:v>Preserve the existing CSS gradient. Export foreground separately with transparent background. Keep key UI within the central 80%.</x:v>
      </x:c>
      <x:c r="O12" s="5" t="str">
        <x:v>http://localhost:3000/platform/analytics-and-observability#costs</x:v>
      </x:c>
    </x:row>
    <x:row r="13" ht="51" customHeight="1">
      <x:c r="A13" s="10" t="str">
        <x:v>P14-08</x:v>
      </x:c>
      <x:c r="B13" s="10" t="str">
        <x:v>Analytics and Observability</x:v>
      </x:c>
      <x:c r="C13" s="10" t="str">
        <x:v>Feature card</x:v>
      </x:c>
      <x:c r="D13" s="10" t="str">
        <x:v>Track what changes after a correction.</x:v>
      </x:c>
      <x:c r="E13" s="10" t="str">
        <x:v>A103</x:v>
      </x:c>
      <x:c r="F13" s="10" t="str">
        <x:v>A version comparison showing reviewed outcomes before and after a correction.</x:v>
      </x:c>
      <x:c r="G13" s="10" t="str">
        <x:v>Rework</x:v>
      </x:c>
      <x:c r="H13" s="10" t="str">
        <x:f>'Production assets'!F108</x:f>
        <x:v>Not started</x:v>
      </x:c>
      <x:c r="I13" s="10" t="str">
        <x:v>1200 x 1000 WebP crop of shared master</x:v>
      </x:c>
      <x:c r="J13" s="10" t="str">
        <x:v>Existing product image</x:v>
      </x:c>
      <x:c r="K13" s="10" t="str">
        <x:v>/brand/platform/self-learning/hub-innflow.png</x:v>
      </x:c>
      <x:c r="L13" s="10" t="str">
        <x:v>320 x 267</x:v>
      </x:c>
      <x:c r="M13" s="10" t="str">
        <x:v>Cream, peach, pink, blue</x:v>
      </x:c>
      <x:c r="N13" s="10" t="str">
        <x:v>Preserve the existing CSS gradient. Export foreground separately with transparent background. Keep key UI within the central 80%.</x:v>
      </x:c>
      <x:c r="O13" s="10" t="str">
        <x:v>http://localhost:3000/platform/analytics-and-observability#learning</x:v>
      </x:c>
    </x:row>
    <x:row r="14" ht="51" customHeight="1">
      <x:c r="A14" s="5" t="str">
        <x:v>P14-09</x:v>
      </x:c>
      <x:c r="B14" s="5" t="str">
        <x:v>Analytics and Observability</x:v>
      </x:c>
      <x:c r="C14" s="5" t="str">
        <x:v>Feature card</x:v>
      </x:c>
      <x:c r="D14" s="5" t="str">
        <x:v>Review the whole team of agents.</x:v>
      </x:c>
      <x:c r="E14" s="5" t="str">
        <x:v>A104</x:v>
      </x:c>
      <x:c r="F14" s="5" t="str">
        <x:v>An agent fleet grid showing role, current status and tasks needing attention.</x:v>
      </x:c>
      <x:c r="G14" s="5" t="str">
        <x:v>Rework</x:v>
      </x:c>
      <x:c r="H14" s="5" t="str">
        <x:f>'Production assets'!F109</x:f>
        <x:v>Not started</x:v>
      </x:c>
      <x:c r="I14" s="5" t="str">
        <x:v>1200 x 1000 WebP crop of shared master</x:v>
      </x:c>
      <x:c r="J14" s="5" t="str">
        <x:v>Existing product image</x:v>
      </x:c>
      <x:c r="K14" s="5" t="str">
        <x:v>/brand/platform/analytics-and-observability/fleet-innflow.png</x:v>
      </x:c>
      <x:c r="L14" s="5" t="str">
        <x:v>320 x 267</x:v>
      </x:c>
      <x:c r="M14" s="5" t="str">
        <x:v>Cream, peach, pink, blue</x:v>
      </x:c>
      <x:c r="N14" s="5" t="str">
        <x:v>Preserve the existing CSS gradient. Export foreground separately with transparent background. Keep key UI within the central 80%.</x:v>
      </x:c>
      <x:c r="O14" s="5" t="str">
        <x:v>http://localhost:3000/platform/analytics-and-observability#fleet</x:v>
      </x:c>
    </x:row>
    <x:row r="15" ht="51" customHeight="1">
      <x:c r="A15" s="10" t="str">
        <x:v>P14-10</x:v>
      </x:c>
      <x:c r="B15" s="10" t="str">
        <x:v>Analytics and Observability</x:v>
      </x:c>
      <x:c r="C15" s="10" t="str">
        <x:v>Feature card</x:v>
      </x:c>
      <x:c r="D15" s="10" t="str">
        <x:v>Use operational data in your reporting.</x:v>
      </x:c>
      <x:c r="E15" s="10" t="str">
        <x:v>A105</x:v>
      </x:c>
      <x:c r="F15" s="10" t="str">
        <x:v>A reporting panel mapping selected operational metrics into a shareable dashboard.</x:v>
      </x:c>
      <x:c r="G15" s="10" t="str">
        <x:v>Rework</x:v>
      </x:c>
      <x:c r="H15" s="10" t="str">
        <x:f>'Production assets'!F110</x:f>
        <x:v>Not started</x:v>
      </x:c>
      <x:c r="I15" s="10" t="str">
        <x:v>1200 x 1000 WebP crop of shared master</x:v>
      </x:c>
      <x:c r="J15" s="10" t="str">
        <x:v>Existing product image</x:v>
      </x:c>
      <x:c r="K15" s="10" t="str">
        <x:v>/brand/platform/analytics-and-observability/metrics-innflow.png</x:v>
      </x:c>
      <x:c r="L15" s="10" t="str">
        <x:v>320 x 267</x:v>
      </x:c>
      <x:c r="M15" s="10" t="str">
        <x:v>Cream, peach, pink, blue</x:v>
      </x:c>
      <x:c r="N15" s="10" t="str">
        <x:v>Preserve the existing CSS gradient. Export foreground separately with transparent background. Keep key UI within the central 80%.</x:v>
      </x:c>
      <x:c r="O15" s="10" t="str">
        <x:v>http://localhost:3000/platform/analytics-and-observability#metrics</x:v>
      </x:c>
    </x:row>
    <x:row r="16" ht="51" customHeight="1">
      <x:c r="A16" s="5" t="str">
        <x:v>P14-11</x:v>
      </x:c>
      <x:c r="B16" s="5" t="str">
        <x:v>Analytics and Observability</x:v>
      </x:c>
      <x:c r="C16" s="5" t="str">
        <x:v>Feature detail</x:v>
      </x:c>
      <x:c r="D16" s="5" t="str">
        <x:v>See how the operation is moving.</x:v>
      </x:c>
      <x:c r="E16" s="5" t="str">
        <x:v>A098</x:v>
      </x:c>
      <x:c r="F16" s="5" t="str">
        <x:v>A workflow dashboard showing run volume, duration and a queue of exceptions.</x:v>
      </x:c>
      <x:c r="G16" s="5" t="str">
        <x:v>Rework</x:v>
      </x:c>
      <x:c r="H16" s="5" t="str">
        <x:f>'Production assets'!F103</x:f>
        <x:v>Not started</x:v>
      </x:c>
      <x:c r="I16" s="5" t="str">
        <x:v>Editable SVG/layers + 1200 x 1200 WebP</x:v>
      </x:c>
      <x:c r="J16" s="5" t="str">
        <x:v>Existing product image</x:v>
      </x:c>
      <x:c r="K16" s="5" t="str">
        <x:v>/brand/platform/analytics-and-observability/performance.png</x:v>
      </x:c>
      <x:c r="L16" s="5" t="str">
        <x:v>580 x 580</x:v>
      </x:c>
      <x:c r="M16" s="5" t="str">
        <x:v>Cream, peach, pink, blue</x:v>
      </x:c>
      <x:c r="N16" s="5" t="str">
        <x:v>Preserve the existing CSS gradient. Export foreground separately with transparent background. Keep key UI within the central 80%.</x:v>
      </x:c>
      <x:c r="O16" s="5" t="str">
        <x:v>http://localhost:3000/platform/analytics-and-observability#performance</x:v>
      </x:c>
    </x:row>
    <x:row r="17" ht="51" customHeight="1">
      <x:c r="A17" s="10" t="str">
        <x:v>P14-12</x:v>
      </x:c>
      <x:c r="B17" s="10" t="str">
        <x:v>Analytics and Observability</x:v>
      </x:c>
      <x:c r="C17" s="10" t="str">
        <x:v>Feature detail</x:v>
      </x:c>
      <x:c r="D17" s="10" t="str">
        <x:v>Find the source of an incorrect result.</x:v>
      </x:c>
      <x:c r="E17" s="10" t="str">
        <x:v>A099</x:v>
      </x:c>
      <x:c r="F17" s="10" t="str">
        <x:v>A result investigation drilling down to a flagged field and its original source.</x:v>
      </x:c>
      <x:c r="G17" s="10" t="str">
        <x:v>Rework</x:v>
      </x:c>
      <x:c r="H17" s="10" t="str">
        <x:f>'Production assets'!F104</x:f>
        <x:v>Not started</x:v>
      </x:c>
      <x:c r="I17" s="10" t="str">
        <x:v>Editable SVG/layers + 1200 x 1200 WebP</x:v>
      </x:c>
      <x:c r="J17" s="10" t="str">
        <x:v>Existing product image</x:v>
      </x:c>
      <x:c r="K17" s="10" t="str">
        <x:v>/brand/platform/analytics-and-observability/accuracy.png</x:v>
      </x:c>
      <x:c r="L17" s="10" t="str">
        <x:v>532 x 532</x:v>
      </x:c>
      <x:c r="M17" s="10" t="str">
        <x:v>Cream, peach, pink, blue</x:v>
      </x:c>
      <x:c r="N17" s="10" t="str">
        <x:v>Preserve the existing CSS gradient. Export foreground separately with transparent background. Keep key UI within the central 80%.</x:v>
      </x:c>
      <x:c r="O17" s="10" t="str">
        <x:v>http://localhost:3000/platform/analytics-and-observability#accuracy</x:v>
      </x:c>
    </x:row>
    <x:row r="18" ht="51" customHeight="1">
      <x:c r="A18" s="5" t="str">
        <x:v>P14-13</x:v>
      </x:c>
      <x:c r="B18" s="5" t="str">
        <x:v>Analytics and Observability</x:v>
      </x:c>
      <x:c r="C18" s="5" t="str">
        <x:v>Feature detail</x:v>
      </x:c>
      <x:c r="D18" s="5" t="str">
        <x:v>Follow the full sequence.</x:v>
      </x:c>
      <x:c r="E18" s="5" t="str">
        <x:v>A100</x:v>
      </x:c>
      <x:c r="F18" s="5" t="str">
        <x:v>An execution trace with ordered agent and tool spans and one expanded handoff.</x:v>
      </x:c>
      <x:c r="G18" s="5" t="str">
        <x:v>Rework</x:v>
      </x:c>
      <x:c r="H18" s="5" t="str">
        <x:f>'Production assets'!F105</x:f>
        <x:v>Not started</x:v>
      </x:c>
      <x:c r="I18" s="5" t="str">
        <x:v>Editable SVG/layers + 1200 x 1200 WebP</x:v>
      </x:c>
      <x:c r="J18" s="5" t="str">
        <x:v>Existing product image</x:v>
      </x:c>
      <x:c r="K18" s="5" t="str">
        <x:v>/brand/platform/analytics-and-observability/traces-innflow.png</x:v>
      </x:c>
      <x:c r="L18" s="5" t="str">
        <x:v>580 x 580</x:v>
      </x:c>
      <x:c r="M18" s="5" t="str">
        <x:v>Cream, peach, pink, blue</x:v>
      </x:c>
      <x:c r="N18" s="5" t="str">
        <x:v>Preserve the existing CSS gradient. Export foreground separately with transparent background. Keep key UI within the central 80%.</x:v>
      </x:c>
      <x:c r="O18" s="5" t="str">
        <x:v>http://localhost:3000/platform/analytics-and-observability#traces</x:v>
      </x:c>
    </x:row>
    <x:row r="19" ht="51" customHeight="1">
      <x:c r="A19" s="10" t="str">
        <x:v>P14-14</x:v>
      </x:c>
      <x:c r="B19" s="10" t="str">
        <x:v>Analytics and Observability</x:v>
      </x:c>
      <x:c r="C19" s="10" t="str">
        <x:v>Feature detail</x:v>
      </x:c>
      <x:c r="D19" s="10" t="str">
        <x:v>Bring technical signals into the investigation.</x:v>
      </x:c>
      <x:c r="E19" s="10" t="str">
        <x:v>A101</x:v>
      </x:c>
      <x:c r="F19" s="10" t="str">
        <x:v>A searchable log view correlated to a selected workflow run and event timeline.</x:v>
      </x:c>
      <x:c r="G19" s="10" t="str">
        <x:v>Rework</x:v>
      </x:c>
      <x:c r="H19" s="10" t="str">
        <x:f>'Production assets'!F106</x:f>
        <x:v>Not started</x:v>
      </x:c>
      <x:c r="I19" s="10" t="str">
        <x:v>Editable SVG/layers + 1200 x 1200 WebP</x:v>
      </x:c>
      <x:c r="J19" s="10" t="str">
        <x:v>Existing product image</x:v>
      </x:c>
      <x:c r="K19" s="10" t="str">
        <x:v>/brand/platform/analytics-and-observability/logs-innflow.png</x:v>
      </x:c>
      <x:c r="L19" s="10" t="str">
        <x:v>532 x 532</x:v>
      </x:c>
      <x:c r="M19" s="10" t="str">
        <x:v>Cream, peach, pink, blue</x:v>
      </x:c>
      <x:c r="N19" s="10" t="str">
        <x:v>Preserve the existing CSS gradient. Export foreground separately with transparent background. Keep key UI within the central 80%.</x:v>
      </x:c>
      <x:c r="O19" s="10" t="str">
        <x:v>http://localhost:3000/platform/analytics-and-observability#logs</x:v>
      </x:c>
    </x:row>
    <x:row r="20" ht="51" customHeight="1">
      <x:c r="A20" s="5" t="str">
        <x:v>P14-15</x:v>
      </x:c>
      <x:c r="B20" s="5" t="str">
        <x:v>Analytics and Observability</x:v>
      </x:c>
      <x:c r="C20" s="5" t="str">
        <x:v>Feature detail</x:v>
      </x:c>
      <x:c r="D20" s="5" t="str">
        <x:v>Understand the resources behind the work.</x:v>
      </x:c>
      <x:c r="E20" s="5" t="str">
        <x:v>A102</x:v>
      </x:c>
      <x:c r="F20" s="5" t="str">
        <x:v>A resource breakdown by model and workflow with usage and cost categories.</x:v>
      </x:c>
      <x:c r="G20" s="5" t="str">
        <x:v>Rework</x:v>
      </x:c>
      <x:c r="H20" s="5" t="str">
        <x:f>'Production assets'!F107</x:f>
        <x:v>Not started</x:v>
      </x:c>
      <x:c r="I20" s="5" t="str">
        <x:v>Editable SVG/layers + 1200 x 1200 WebP</x:v>
      </x:c>
      <x:c r="J20" s="5" t="str">
        <x:v>Existing product image</x:v>
      </x:c>
      <x:c r="K20" s="5" t="str">
        <x:v>/brand/platform/analytics-and-observability/costs.png</x:v>
      </x:c>
      <x:c r="L20" s="5" t="str">
        <x:v>580 x 580</x:v>
      </x:c>
      <x:c r="M20" s="5" t="str">
        <x:v>Cream, peach, pink, blue</x:v>
      </x:c>
      <x:c r="N20" s="5" t="str">
        <x:v>Preserve the existing CSS gradient. Export foreground separately with transparent background. Keep key UI within the central 80%.</x:v>
      </x:c>
      <x:c r="O20" s="5" t="str">
        <x:v>http://localhost:3000/platform/analytics-and-observability#costs</x:v>
      </x:c>
    </x:row>
    <x:row r="21" ht="51" customHeight="1">
      <x:c r="A21" s="10" t="str">
        <x:v>P14-16</x:v>
      </x:c>
      <x:c r="B21" s="10" t="str">
        <x:v>Analytics and Observability</x:v>
      </x:c>
      <x:c r="C21" s="10" t="str">
        <x:v>Feature detail</x:v>
      </x:c>
      <x:c r="D21" s="10" t="str">
        <x:v>Track what changes after a correction.</x:v>
      </x:c>
      <x:c r="E21" s="10" t="str">
        <x:v>A103</x:v>
      </x:c>
      <x:c r="F21" s="10" t="str">
        <x:v>A version comparison showing reviewed outcomes before and after a correction.</x:v>
      </x:c>
      <x:c r="G21" s="10" t="str">
        <x:v>Rework</x:v>
      </x:c>
      <x:c r="H21" s="10" t="str">
        <x:f>'Production assets'!F108</x:f>
        <x:v>Not started</x:v>
      </x:c>
      <x:c r="I21" s="10" t="str">
        <x:v>Editable SVG/layers + 1200 x 1200 WebP</x:v>
      </x:c>
      <x:c r="J21" s="10" t="str">
        <x:v>Existing product image</x:v>
      </x:c>
      <x:c r="K21" s="10" t="str">
        <x:v>/brand/platform/self-learning/hub-innflow.png</x:v>
      </x:c>
      <x:c r="L21" s="10" t="str">
        <x:v>532 x 532</x:v>
      </x:c>
      <x:c r="M21" s="10" t="str">
        <x:v>Cream, peach, pink, blue</x:v>
      </x:c>
      <x:c r="N21" s="10" t="str">
        <x:v>Preserve the existing CSS gradient. Export foreground separately with transparent background. Keep key UI within the central 80%.</x:v>
      </x:c>
      <x:c r="O21" s="10" t="str">
        <x:v>http://localhost:3000/platform/analytics-and-observability#learning</x:v>
      </x:c>
    </x:row>
    <x:row r="22" ht="51" customHeight="1">
      <x:c r="A22" s="5" t="str">
        <x:v>P14-17</x:v>
      </x:c>
      <x:c r="B22" s="5" t="str">
        <x:v>Analytics and Observability</x:v>
      </x:c>
      <x:c r="C22" s="5" t="str">
        <x:v>Feature detail</x:v>
      </x:c>
      <x:c r="D22" s="5" t="str">
        <x:v>Review the whole team of agents.</x:v>
      </x:c>
      <x:c r="E22" s="5" t="str">
        <x:v>A104</x:v>
      </x:c>
      <x:c r="F22" s="5" t="str">
        <x:v>An agent fleet grid showing role, current status and tasks needing attention.</x:v>
      </x:c>
      <x:c r="G22" s="5" t="str">
        <x:v>Rework</x:v>
      </x:c>
      <x:c r="H22" s="5" t="str">
        <x:f>'Production assets'!F109</x:f>
        <x:v>Not started</x:v>
      </x:c>
      <x:c r="I22" s="5" t="str">
        <x:v>Editable SVG/layers + 1200 x 1200 WebP</x:v>
      </x:c>
      <x:c r="J22" s="5" t="str">
        <x:v>Existing product image</x:v>
      </x:c>
      <x:c r="K22" s="5" t="str">
        <x:v>/brand/platform/analytics-and-observability/fleet-innflow.png</x:v>
      </x:c>
      <x:c r="L22" s="5" t="str">
        <x:v>580 x 580</x:v>
      </x:c>
      <x:c r="M22" s="5" t="str">
        <x:v>Cream, peach, pink, blue</x:v>
      </x:c>
      <x:c r="N22" s="5" t="str">
        <x:v>Preserve the existing CSS gradient. Export foreground separately with transparent background. Keep key UI within the central 80%.</x:v>
      </x:c>
      <x:c r="O22" s="5" t="str">
        <x:v>http://localhost:3000/platform/analytics-and-observability#fleet</x:v>
      </x:c>
    </x:row>
    <x:row r="23" ht="51" customHeight="1">
      <x:c r="A23" s="10" t="str">
        <x:v>P14-18</x:v>
      </x:c>
      <x:c r="B23" s="10" t="str">
        <x:v>Analytics and Observability</x:v>
      </x:c>
      <x:c r="C23" s="10" t="str">
        <x:v>Feature detail</x:v>
      </x:c>
      <x:c r="D23" s="10" t="str">
        <x:v>Use operational data in your reporting.</x:v>
      </x:c>
      <x:c r="E23" s="10" t="str">
        <x:v>A105</x:v>
      </x:c>
      <x:c r="F23" s="10" t="str">
        <x:v>A reporting panel mapping selected operational metrics into a shareable dashboard.</x:v>
      </x:c>
      <x:c r="G23" s="10" t="str">
        <x:v>Rework</x:v>
      </x:c>
      <x:c r="H23" s="10" t="str">
        <x:f>'Production assets'!F110</x:f>
        <x:v>Not started</x:v>
      </x:c>
      <x:c r="I23" s="10" t="str">
        <x:v>Editable SVG/layers + 1200 x 1200 WebP</x:v>
      </x:c>
      <x:c r="J23" s="10" t="str">
        <x:v>Existing product image</x:v>
      </x:c>
      <x:c r="K23" s="10" t="str">
        <x:v>/brand/platform/analytics-and-observability/metrics-innflow.png</x:v>
      </x:c>
      <x:c r="L23" s="10" t="str">
        <x:v>532 x 532</x:v>
      </x:c>
      <x:c r="M23" s="10" t="str">
        <x:v>Cream, peach, pink, blue</x:v>
      </x:c>
      <x:c r="N23" s="10" t="str">
        <x:v>Preserve the existing CSS gradient. Export foreground separately with transparent background. Keep key UI within the central 80%.</x:v>
      </x:c>
      <x:c r="O23" s="10" t="str">
        <x:v>http://localhost:3000/platform/analytics-and-observability#metrics</x:v>
      </x:c>
    </x:row>
    <x:row r="24" ht="38" customHeight="1">
      <x:c r="A24" s="5" t="str">
        <x:v>P14-19</x:v>
      </x:c>
      <x:c r="B24" s="5" t="str">
        <x:v>Analytics and Observability</x:v>
      </x:c>
      <x:c r="C24" s="5" t="str">
        <x:v>Related product thumbnail</x:v>
      </x:c>
      <x:c r="D24" s="5" t="str">
        <x:v>Platform</x:v>
      </x:c>
      <x:c r="E24" s="5" t="str">
        <x:v>A015</x:v>
      </x:c>
      <x:c r="F24" s="5" t="str">
        <x:v>A compact workspace overview linking agents, tools and shared knowledge.</x:v>
      </x:c>
      <x:c r="G24" s="5" t="str">
        <x:v>Create</x:v>
      </x:c>
      <x:c r="H24" s="5" t="str">
        <x:f>'Production assets'!F20</x:f>
        <x:v>Not started</x:v>
      </x:c>
      <x:c r="I24" s="5" t="str">
        <x:v>Editable SVG + 1200 x 1000 WebP</x:v>
      </x:c>
      <x:c r="J24" s="5" t="str">
        <x:v>Generic star on gradient</x:v>
      </x:c>
      <x:c r="K24" s="5" t="str">
        <x:v>/brand/calendly/assistant-hero.svg + star glyph</x:v>
      </x:c>
      <x:c r="L24" s="5" t="str">
        <x:v>227 x 189</x:v>
      </x:c>
      <x:c r="M24" s="5" t="str">
        <x:v>Ice blue, white, teal, deep green</x:v>
      </x:c>
      <x:c r="N24" s="5" t="str">
        <x:v>Create once and reuse across related-product cards and the Platform card rail. Keep the gradient separate.</x:v>
      </x:c>
      <x:c r="O24" s="5" t="str">
        <x:v>http://localhost:3000/platform/analytics-and-observability</x:v>
      </x:c>
    </x:row>
    <x:row r="25" ht="38" customHeight="1">
      <x:c r="A25" s="10" t="str">
        <x:v>P14-20</x:v>
      </x:c>
      <x:c r="B25" s="10" t="str">
        <x:v>Analytics and Observability</x:v>
      </x:c>
      <x:c r="C25" s="10" t="str">
        <x:v>Related product thumbnail</x:v>
      </x:c>
      <x:c r="D25" s="10" t="str">
        <x:v>Integrations</x:v>
      </x:c>
      <x:c r="E25" s="10" t="str">
        <x:v>A006</x:v>
      </x:c>
      <x:c r="F25" s="10" t="str">
        <x:v>A central Innflow node connected to a small set of tool tiles.</x:v>
      </x:c>
      <x:c r="G25" s="10" t="str">
        <x:v>Create</x:v>
      </x:c>
      <x:c r="H25" s="10" t="str">
        <x:f>'Production assets'!F11</x:f>
        <x:v>Not started</x:v>
      </x:c>
      <x:c r="I25" s="10" t="str">
        <x:v>Editable SVG + 1200 x 1000 WebP</x:v>
      </x:c>
      <x:c r="J25" s="10" t="str">
        <x:v>Generic star on gradient</x:v>
      </x:c>
      <x:c r="K25" s="10" t="str">
        <x:v>/brand/calendly/scheduling-hero.svg + star glyph</x:v>
      </x:c>
      <x:c r="L25" s="10" t="str">
        <x:v>227 x 189</x:v>
      </x:c>
      <x:c r="M25" s="10" t="str">
        <x:v>Sky blue, pale aqua, navy</x:v>
      </x:c>
      <x:c r="N25" s="10" t="str">
        <x:v>Create once and reuse across related-product cards and the Platform card rail. Keep the gradient separate.</x:v>
      </x:c>
      <x:c r="O25" s="10" t="str">
        <x:v>http://localhost:3000/platform/analytics-and-observability</x:v>
      </x:c>
    </x:row>
    <x:row r="26" ht="38" customHeight="1">
      <x:c r="A26" s="5" t="str">
        <x:v>P14-21</x:v>
      </x:c>
      <x:c r="B26" s="5" t="str">
        <x:v>Analytics and Observability</x:v>
      </x:c>
      <x:c r="C26" s="5" t="str">
        <x:v>Related product thumbnail</x:v>
      </x:c>
      <x:c r="D26" s="5" t="str">
        <x:v>Agentic Workflows</x:v>
      </x:c>
      <x:c r="E26" s="5" t="str">
        <x:v>A010</x:v>
      </x:c>
      <x:c r="F26" s="5" t="str">
        <x:v>A compact workflow canvas with trigger, branch and action nodes.</x:v>
      </x:c>
      <x:c r="G26" s="5" t="str">
        <x:v>Create</x:v>
      </x:c>
      <x:c r="H26" s="5" t="str">
        <x:f>'Production assets'!F15</x:f>
        <x:v>Not started</x:v>
      </x:c>
      <x:c r="I26" s="5" t="str">
        <x:v>Editable SVG + 1200 x 1000 WebP</x:v>
      </x:c>
      <x:c r="J26" s="5" t="str">
        <x:v>Generic star on gradient</x:v>
      </x:c>
      <x:c r="K26" s="5" t="str">
        <x:v>/brand/calendly/notetaker-hero.svg + star glyph</x:v>
      </x:c>
      <x:c r="L26" s="5" t="str">
        <x:v>227 x 189</x:v>
      </x:c>
      <x:c r="M26" s="5" t="str">
        <x:v>Navy, blue, blush, lavender</x:v>
      </x:c>
      <x:c r="N26" s="5" t="str">
        <x:v>Create once and reuse across related-product cards and the Platform card rail. Keep the gradient separate.</x:v>
      </x:c>
      <x:c r="O26" s="5" t="str">
        <x:v>http://localhost:3000/platform/analytics-and-observability</x:v>
      </x:c>
    </x:row>
    <x:row r="27" ht="38" customHeight="1">
      <x:c r="A27" s="10" t="str">
        <x:v>P14-22</x:v>
      </x:c>
      <x:c r="B27" s="10" t="str">
        <x:v>Analytics and Observability</x:v>
      </x:c>
      <x:c r="C27" s="10" t="str">
        <x:v>Related product thumbnail</x:v>
      </x:c>
      <x:c r="D27" s="10" t="str">
        <x:v>Agent OS</x:v>
      </x:c>
      <x:c r="E27" s="10" t="str">
        <x:v>A011</x:v>
      </x:c>
      <x:c r="F27" s="10" t="str">
        <x:v>A small orchestration graph connecting agents and shared memory.</x:v>
      </x:c>
      <x:c r="G27" s="10" t="str">
        <x:v>Create</x:v>
      </x:c>
      <x:c r="H27" s="10" t="str">
        <x:f>'Production assets'!F16</x:f>
        <x:v>Not started</x:v>
      </x:c>
      <x:c r="I27" s="10" t="str">
        <x:v>Editable SVG + 1200 x 1000 WebP</x:v>
      </x:c>
      <x:c r="J27" s="10" t="str">
        <x:v>Generic star on gradient</x:v>
      </x:c>
      <x:c r="K27" s="10" t="str">
        <x:v>/brand/calendly/contacts-hero.svg + star glyph</x:v>
      </x:c>
      <x:c r="L27" s="10" t="str">
        <x:v>227 x 189</x:v>
      </x:c>
      <x:c r="M27" s="10" t="str">
        <x:v>Cream, peach, pink, blue</x:v>
      </x:c>
      <x:c r="N27" s="10" t="str">
        <x:v>Create once and reuse across related-product cards and the Platform card rail. Keep the gradient separate.</x:v>
      </x:c>
      <x:c r="O27" s="10" t="str">
        <x:v>http://localhost:3000/platform/analytics-and-observability</x:v>
      </x:c>
    </x:row>
    <x:row r="28" ht="38" customHeight="1">
      <x:c r="A28" s="5" t="str">
        <x:v>P14-23</x:v>
      </x:c>
      <x:c r="B28" s="5" t="str">
        <x:v>Analytics and Observability</x:v>
      </x:c>
      <x:c r="C28" s="5" t="str">
        <x:v>Related product thumbnail</x:v>
      </x:c>
      <x:c r="D28" s="5" t="str">
        <x:v>AI Agents</x:v>
      </x:c>
      <x:c r="E28" s="5" t="str">
        <x:v>A012</x:v>
      </x:c>
      <x:c r="F28" s="5" t="str">
        <x:v>An agent task card with linked evidence and a proposed next action.</x:v>
      </x:c>
      <x:c r="G28" s="5" t="str">
        <x:v>Create</x:v>
      </x:c>
      <x:c r="H28" s="5" t="str">
        <x:f>'Production assets'!F17</x:f>
        <x:v>Not started</x:v>
      </x:c>
      <x:c r="I28" s="5" t="str">
        <x:v>Editable SVG + 1200 x 1000 WebP</x:v>
      </x:c>
      <x:c r="J28" s="5" t="str">
        <x:v>Generic star on gradient</x:v>
      </x:c>
      <x:c r="K28" s="5" t="str">
        <x:v>/brand/calendly/payments-hero.svg + star glyph</x:v>
      </x:c>
      <x:c r="L28" s="5" t="str">
        <x:v>227 x 189</x:v>
      </x:c>
      <x:c r="M28" s="5" t="str">
        <x:v>Pale mint, aqua, blue, navy</x:v>
      </x:c>
      <x:c r="N28" s="5" t="str">
        <x:v>Create once and reuse across related-product cards and the Platform card rail. Keep the gradient separate.</x:v>
      </x:c>
      <x:c r="O28" s="5" t="str">
        <x:v>http://localhost:3000/platform/analytics-and-observability</x:v>
      </x:c>
    </x:row>
  </x:sheetData>
  <x:pageMargins left="0.7" right="0.7" top="0.75" bottom="0.75" header="0.3" footer="0.3"/>
  <x:tableParts count="1">
    <x:tablePart xmlns:r="http://schemas.openxmlformats.org/officeDocument/2006/relationships" r:id="R28a1b4077fc34add"/>
  </x:tableParts>
</x:worksheet>
</file>

<file path=xl/worksheets/sheet18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4" hidden="0" customWidth="1"/>
    <x:col min="2" max="2" width="25" hidden="0" customWidth="1"/>
    <x:col min="3" max="3" width="24" hidden="0" customWidth="1"/>
    <x:col min="4" max="4" width="40" hidden="0" customWidth="1"/>
    <x:col min="5" max="5" width="12" hidden="0" customWidth="1"/>
    <x:col min="6" max="6" width="76" hidden="0" customWidth="1"/>
    <x:col min="7" max="7" width="14" hidden="0" customWidth="1"/>
    <x:col min="8" max="8" width="17" hidden="0" customWidth="1"/>
    <x:col min="9" max="9" width="40" hidden="0" customWidth="1"/>
    <x:col min="10" max="10" width="28" hidden="0" customWidth="1"/>
    <x:col min="11" max="11" width="65" hidden="0" customWidth="1"/>
    <x:col min="12" max="12" width="18" hidden="0" customWidth="1"/>
    <x:col min="13" max="13" width="30" hidden="0" customWidth="1"/>
    <x:col min="14" max="14" width="65" hidden="0" customWidth="1"/>
    <x:col min="15" max="15" width="6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>
      <x:c r="A2" s="2" t="str">
        <x:v>Deployment Options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>
      <x:c r="A3" s="3" t="str">
        <x:v>/platform/deployment-options | Payments reference. Status links to Production assets.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30" customHeight="1">
      <x:c r="A5" s="9" t="str">
        <x:v>Placement ID</x:v>
      </x:c>
      <x:c r="B5" s="9" t="str">
        <x:v>Page</x:v>
      </x:c>
      <x:c r="C5" s="9" t="str">
        <x:v>Section</x:v>
      </x:c>
      <x:c r="D5" s="9" t="str">
        <x:v>Section title</x:v>
      </x:c>
      <x:c r="E5" s="9" t="str">
        <x:v>Asset ID</x:v>
      </x:c>
      <x:c r="F5" s="9" t="str">
        <x:v>Recommended artwork</x:v>
      </x:c>
      <x:c r="G5" s="9" t="str">
        <x:v>Action</x:v>
      </x:c>
      <x:c r="H5" s="9" t="str">
        <x:v>Status</x:v>
      </x:c>
      <x:c r="I5" s="9" t="str">
        <x:v>Recommended deliverable</x:v>
      </x:c>
      <x:c r="J5" s="9" t="str">
        <x:v>Current artwork</x:v>
      </x:c>
      <x:c r="K5" s="9" t="str">
        <x:v>Current sources</x:v>
      </x:c>
      <x:c r="L5" s="9" t="str">
        <x:v>Desktop size (px)</x:v>
      </x:c>
      <x:c r="M5" s="9" t="str">
        <x:v>Gradient palette</x:v>
      </x:c>
      <x:c r="N5" s="9" t="str">
        <x:v>Reuse and crop notes</x:v>
      </x:c>
      <x:c r="O5" s="9" t="str">
        <x:v>Page reference</x:v>
      </x:c>
    </x:row>
    <x:row r="6" ht="38" customHeight="1">
      <x:c r="A6" s="5" t="str">
        <x:v>P15-01</x:v>
      </x:c>
      <x:c r="B6" s="5" t="str">
        <x:v>Deployment Options</x:v>
      </x:c>
      <x:c r="C6" s="5" t="str">
        <x:v>Hero background</x:v>
      </x:c>
      <x:c r="D6" s="5" t="str">
        <x:v>Plan where and how your agents run.</x:v>
      </x:c>
      <x:c r="E6" s="5" t="str">
        <x:v>A034</x:v>
      </x:c>
      <x:c r="F6" s="5" t="str">
        <x:v>Reuse the existing Paper SVG as a separate background layer. No new background required.</x:v>
      </x:c>
      <x:c r="G6" s="5" t="str">
        <x:v>Reuse</x:v>
      </x:c>
      <x:c r="H6" s="5" t="str">
        <x:f>'Production assets'!F39</x:f>
        <x:v>Existing</x:v>
      </x:c>
      <x:c r="I6" s="5" t="str">
        <x:v>Existing scalable SVG</x:v>
      </x:c>
      <x:c r="J6" s="5" t="str">
        <x:v>Existing background</x:v>
      </x:c>
      <x:c r="K6" s="5" t="str">
        <x:v>/brand/calendly/payments-hero.svg</x:v>
      </x:c>
      <x:c r="L6" s="5" t="str">
        <x:v>1387 x 776</x:v>
      </x:c>
      <x:c r="M6" s="5" t="str">
        <x:v>Pale mint, aqua, blue, navy</x:v>
      </x:c>
      <x:c r="N6" s="5" t="str">
        <x:v>Shared by every page using this style.</x:v>
      </x:c>
      <x:c r="O6" s="5" t="str">
        <x:v>http://localhost:3000/platform/deployment-options</x:v>
      </x:c>
    </x:row>
    <x:row r="7" ht="51" customHeight="1">
      <x:c r="A7" s="10" t="str">
        <x:v>P15-02</x:v>
      </x:c>
      <x:c r="B7" s="10" t="str">
        <x:v>Deployment Options</x:v>
      </x:c>
      <x:c r="C7" s="10" t="str">
        <x:v>Capability overview</x:v>
      </x:c>
      <x:c r="D7" s="10" t="str">
        <x:v>Cloud deployment</x:v>
      </x:c>
      <x:c r="E7" s="10" t="str">
        <x:v>A106</x:v>
      </x:c>
      <x:c r="F7" s="10" t="str">
        <x:v>A hosted environment overview showing the application, managed services and team access boundary.</x:v>
      </x:c>
      <x:c r="G7" s="10" t="str">
        <x:v>Rework</x:v>
      </x:c>
      <x:c r="H7" s="10" t="str">
        <x:f>'Production assets'!F111</x:f>
        <x:v>Not started</x:v>
      </x:c>
      <x:c r="I7" s="10" t="str">
        <x:v>Editable SVG/layers + 1200 x 1200 WebP</x:v>
      </x:c>
      <x:c r="J7" s="10" t="str">
        <x:v>Existing product image</x:v>
      </x:c>
      <x:c r="K7" s="10" t="str">
        <x:v>/brand/platform/deployment-options/cloud.jpg</x:v>
      </x:c>
      <x:c r="L7" s="10" t="str">
        <x:v>580 x 580</x:v>
      </x:c>
      <x:c r="M7" s="10" t="str">
        <x:v>Pale mint, aqua, blue, navy</x:v>
      </x:c>
      <x:c r="N7" s="10" t="str">
        <x:v>Preserve the existing CSS gradient. Export foreground separately with transparent background. Keep key UI within the central 80%. Reuses the first feature detail artwork.</x:v>
      </x:c>
      <x:c r="O7" s="10" t="str">
        <x:v>http://localhost:3000/platform/deployment-options#cloud</x:v>
      </x:c>
    </x:row>
    <x:row r="8" ht="51" customHeight="1">
      <x:c r="A8" s="5" t="str">
        <x:v>P15-03</x:v>
      </x:c>
      <x:c r="B8" s="5" t="str">
        <x:v>Deployment Options</x:v>
      </x:c>
      <x:c r="C8" s="5" t="str">
        <x:v>Feature card</x:v>
      </x:c>
      <x:c r="D8" s="5" t="str">
        <x:v>Start with the operational requirements.</x:v>
      </x:c>
      <x:c r="E8" s="5" t="str">
        <x:v>A106</x:v>
      </x:c>
      <x:c r="F8" s="5" t="str">
        <x:v>A hosted environment overview showing the application, managed services and team access boundary.</x:v>
      </x:c>
      <x:c r="G8" s="5" t="str">
        <x:v>Rework</x:v>
      </x:c>
      <x:c r="H8" s="5" t="str">
        <x:f>'Production assets'!F111</x:f>
        <x:v>Not started</x:v>
      </x:c>
      <x:c r="I8" s="5" t="str">
        <x:v>1200 x 1000 WebP crop of shared master</x:v>
      </x:c>
      <x:c r="J8" s="5" t="str">
        <x:v>Existing product image</x:v>
      </x:c>
      <x:c r="K8" s="5" t="str">
        <x:v>/brand/platform/deployment-options/cloud.jpg</x:v>
      </x:c>
      <x:c r="L8" s="5" t="str">
        <x:v>320 x 267</x:v>
      </x:c>
      <x:c r="M8" s="5" t="str">
        <x:v>Pale mint, aqua, blue, navy</x:v>
      </x:c>
      <x:c r="N8" s="5" t="str">
        <x:v>Preserve the existing CSS gradient. Export foreground separately with transparent background. Keep key UI within the central 80%.</x:v>
      </x:c>
      <x:c r="O8" s="5" t="str">
        <x:v>http://localhost:3000/platform/deployment-options#cloud</x:v>
      </x:c>
    </x:row>
    <x:row r="9" ht="51" customHeight="1">
      <x:c r="A9" s="10" t="str">
        <x:v>P15-04</x:v>
      </x:c>
      <x:c r="B9" s="10" t="str">
        <x:v>Deployment Options</x:v>
      </x:c>
      <x:c r="C9" s="10" t="str">
        <x:v>Feature card</x:v>
      </x:c>
      <x:c r="D9" s="10" t="str">
        <x:v>Define the boundaries of a dedicated setup.</x:v>
      </x:c>
      <x:c r="E9" s="10" t="str">
        <x:v>A107</x:v>
      </x:c>
      <x:c r="F9" s="10" t="str">
        <x:v>A dedicated environment architecture enclosed within a clearly labeled private boundary.</x:v>
      </x:c>
      <x:c r="G9" s="10" t="str">
        <x:v>Rework</x:v>
      </x:c>
      <x:c r="H9" s="10" t="str">
        <x:f>'Production assets'!F112</x:f>
        <x:v>Not started</x:v>
      </x:c>
      <x:c r="I9" s="10" t="str">
        <x:v>1200 x 1000 WebP crop of shared master</x:v>
      </x:c>
      <x:c r="J9" s="10" t="str">
        <x:v>Existing product image</x:v>
      </x:c>
      <x:c r="K9" s="10" t="str">
        <x:v>/brand/platform/deployment-options/private-innflow.png</x:v>
      </x:c>
      <x:c r="L9" s="10" t="str">
        <x:v>320 x 267</x:v>
      </x:c>
      <x:c r="M9" s="10" t="str">
        <x:v>Pale mint, aqua, blue, navy</x:v>
      </x:c>
      <x:c r="N9" s="10" t="str">
        <x:v>Preserve the existing CSS gradient. Export foreground separately with transparent background. Keep key UI within the central 80%.</x:v>
      </x:c>
      <x:c r="O9" s="10" t="str">
        <x:v>http://localhost:3000/platform/deployment-options#private</x:v>
      </x:c>
    </x:row>
    <x:row r="10" ht="51" customHeight="1">
      <x:c r="A10" s="5" t="str">
        <x:v>P15-05</x:v>
      </x:c>
      <x:c r="B10" s="5" t="str">
        <x:v>Deployment Options</x:v>
      </x:c>
      <x:c r="C10" s="5" t="str">
        <x:v>Feature card</x:v>
      </x:c>
      <x:c r="D10" s="5" t="str">
        <x:v>Map responsibilities within your environment.</x:v>
      </x:c>
      <x:c r="E10" s="5" t="str">
        <x:v>A108</x:v>
      </x:c>
      <x:c r="F10" s="5" t="str">
        <x:v>An on-premise architecture with infrastructure ownership and operational responsibilities labeled.</x:v>
      </x:c>
      <x:c r="G10" s="5" t="str">
        <x:v>Rework</x:v>
      </x:c>
      <x:c r="H10" s="5" t="str">
        <x:f>'Production assets'!F113</x:f>
        <x:v>Not started</x:v>
      </x:c>
      <x:c r="I10" s="5" t="str">
        <x:v>1200 x 1000 WebP crop of shared master</x:v>
      </x:c>
      <x:c r="J10" s="5" t="str">
        <x:v>Existing product image</x:v>
      </x:c>
      <x:c r="K10" s="5" t="str">
        <x:v>/brand/platform/deployment-options/on-premise-innflow.png</x:v>
      </x:c>
      <x:c r="L10" s="5" t="str">
        <x:v>320 x 267</x:v>
      </x:c>
      <x:c r="M10" s="5" t="str">
        <x:v>Pale mint, aqua, blue, navy</x:v>
      </x:c>
      <x:c r="N10" s="5" t="str">
        <x:v>Preserve the existing CSS gradient. Export foreground separately with transparent background. Keep key UI within the central 80%.</x:v>
      </x:c>
      <x:c r="O10" s="5" t="str">
        <x:v>http://localhost:3000/platform/deployment-options#on-premise</x:v>
      </x:c>
    </x:row>
    <x:row r="11" ht="51" customHeight="1">
      <x:c r="A11" s="10" t="str">
        <x:v>P15-06</x:v>
      </x:c>
      <x:c r="B11" s="10" t="str">
        <x:v>Deployment Options</x:v>
      </x:c>
      <x:c r="C11" s="10" t="str">
        <x:v>Feature card</x:v>
      </x:c>
      <x:c r="D11" s="10" t="str">
        <x:v>Choose model access deliberately.</x:v>
      </x:c>
      <x:c r="E11" s="10" t="str">
        <x:v>A109</x:v>
      </x:c>
      <x:c r="F11" s="10" t="str">
        <x:v>A model access chooser connecting approved providers to the deployment environment.</x:v>
      </x:c>
      <x:c r="G11" s="10" t="str">
        <x:v>Rework</x:v>
      </x:c>
      <x:c r="H11" s="10" t="str">
        <x:f>'Production assets'!F114</x:f>
        <x:v>Not started</x:v>
      </x:c>
      <x:c r="I11" s="10" t="str">
        <x:v>1200 x 1000 WebP crop of shared master</x:v>
      </x:c>
      <x:c r="J11" s="10" t="str">
        <x:v>Existing product image</x:v>
      </x:c>
      <x:c r="K11" s="10" t="str">
        <x:v>/brand/platform/deployment-options/models.jpg</x:v>
      </x:c>
      <x:c r="L11" s="10" t="str">
        <x:v>320 x 267</x:v>
      </x:c>
      <x:c r="M11" s="10" t="str">
        <x:v>Pale mint, aqua, blue, navy</x:v>
      </x:c>
      <x:c r="N11" s="10" t="str">
        <x:v>Preserve the existing CSS gradient. Export foreground separately with transparent background. Keep key UI within the central 80%.</x:v>
      </x:c>
      <x:c r="O11" s="10" t="str">
        <x:v>http://localhost:3000/platform/deployment-options#models</x:v>
      </x:c>
    </x:row>
    <x:row r="12" ht="51" customHeight="1">
      <x:c r="A12" s="5" t="str">
        <x:v>P15-07</x:v>
      </x:c>
      <x:c r="B12" s="5" t="str">
        <x:v>Deployment Options</x:v>
      </x:c>
      <x:c r="C12" s="5" t="str">
        <x:v>Feature card</x:v>
      </x:c>
      <x:c r="D12" s="5" t="str">
        <x:v>Account for where data needs to stay.</x:v>
      </x:c>
      <x:c r="E12" s="5" t="str">
        <x:v>A110</x:v>
      </x:c>
      <x:c r="F12" s="5" t="str">
        <x:v>A regional deployment map with a selected data location and defined storage boundary.</x:v>
      </x:c>
      <x:c r="G12" s="5" t="str">
        <x:v>Rework</x:v>
      </x:c>
      <x:c r="H12" s="5" t="str">
        <x:f>'Production assets'!F115</x:f>
        <x:v>Not started</x:v>
      </x:c>
      <x:c r="I12" s="5" t="str">
        <x:v>1200 x 1000 WebP crop of shared master</x:v>
      </x:c>
      <x:c r="J12" s="5" t="str">
        <x:v>Existing product image</x:v>
      </x:c>
      <x:c r="K12" s="5" t="str">
        <x:v>/brand/platform/deployment-options/regions.jpg</x:v>
      </x:c>
      <x:c r="L12" s="5" t="str">
        <x:v>320 x 267</x:v>
      </x:c>
      <x:c r="M12" s="5" t="str">
        <x:v>Pale mint, aqua, blue, navy</x:v>
      </x:c>
      <x:c r="N12" s="5" t="str">
        <x:v>Preserve the existing CSS gradient. Export foreground separately with transparent background. Keep key UI within the central 80%.</x:v>
      </x:c>
      <x:c r="O12" s="5" t="str">
        <x:v>http://localhost:3000/platform/deployment-options#regions</x:v>
      </x:c>
    </x:row>
    <x:row r="13" ht="51" customHeight="1">
      <x:c r="A13" s="10" t="str">
        <x:v>P15-08</x:v>
      </x:c>
      <x:c r="B13" s="10" t="str">
        <x:v>Deployment Options</x:v>
      </x:c>
      <x:c r="C13" s="10" t="str">
        <x:v>Feature card</x:v>
      </x:c>
      <x:c r="D13" s="10" t="str">
        <x:v>Prepare for a change of environment.</x:v>
      </x:c>
      <x:c r="E13" s="10" t="str">
        <x:v>A111</x:v>
      </x:c>
      <x:c r="F13" s="10" t="str">
        <x:v>A staged migration path from source environment through validation to the destination.</x:v>
      </x:c>
      <x:c r="G13" s="10" t="str">
        <x:v>Rework</x:v>
      </x:c>
      <x:c r="H13" s="10" t="str">
        <x:f>'Production assets'!F116</x:f>
        <x:v>Not started</x:v>
      </x:c>
      <x:c r="I13" s="10" t="str">
        <x:v>1200 x 1000 WebP crop of shared master</x:v>
      </x:c>
      <x:c r="J13" s="10" t="str">
        <x:v>Existing product image</x:v>
      </x:c>
      <x:c r="K13" s="10" t="str">
        <x:v>/brand/platform/deployment-options/migration-innflow.png</x:v>
      </x:c>
      <x:c r="L13" s="10" t="str">
        <x:v>320 x 267</x:v>
      </x:c>
      <x:c r="M13" s="10" t="str">
        <x:v>Pale mint, aqua, blue, navy</x:v>
      </x:c>
      <x:c r="N13" s="10" t="str">
        <x:v>Preserve the existing CSS gradient. Export foreground separately with transparent background. Keep key UI within the central 80%.</x:v>
      </x:c>
      <x:c r="O13" s="10" t="str">
        <x:v>http://localhost:3000/platform/deployment-options#migration</x:v>
      </x:c>
    </x:row>
    <x:row r="14" ht="51" customHeight="1">
      <x:c r="A14" s="5" t="str">
        <x:v>P15-09</x:v>
      </x:c>
      <x:c r="B14" s="5" t="str">
        <x:v>Deployment Options</x:v>
      </x:c>
      <x:c r="C14" s="5" t="str">
        <x:v>Feature card</x:v>
      </x:c>
      <x:c r="D14" s="5" t="str">
        <x:v>Agree on the controls the environment needs.</x:v>
      </x:c>
      <x:c r="E14" s="5" t="str">
        <x:v>A112</x:v>
      </x:c>
      <x:c r="F14" s="5" t="str">
        <x:v>An environment policy panel with roles, access boundaries and review controls.</x:v>
      </x:c>
      <x:c r="G14" s="5" t="str">
        <x:v>Rework</x:v>
      </x:c>
      <x:c r="H14" s="5" t="str">
        <x:f>'Production assets'!F117</x:f>
        <x:v>Not started</x:v>
      </x:c>
      <x:c r="I14" s="5" t="str">
        <x:v>1200 x 1000 WebP crop of shared master</x:v>
      </x:c>
      <x:c r="J14" s="5" t="str">
        <x:v>Existing product image</x:v>
      </x:c>
      <x:c r="K14" s="5" t="str">
        <x:v>/brand/platform/deployment-options/governance.jpg</x:v>
      </x:c>
      <x:c r="L14" s="5" t="str">
        <x:v>320 x 267</x:v>
      </x:c>
      <x:c r="M14" s="5" t="str">
        <x:v>Pale mint, aqua, blue, navy</x:v>
      </x:c>
      <x:c r="N14" s="5" t="str">
        <x:v>Preserve the existing CSS gradient. Export foreground separately with transparent background. Keep key UI within the central 80%.</x:v>
      </x:c>
      <x:c r="O14" s="5" t="str">
        <x:v>http://localhost:3000/platform/deployment-options#governance</x:v>
      </x:c>
    </x:row>
    <x:row r="15" ht="51" customHeight="1">
      <x:c r="A15" s="10" t="str">
        <x:v>P15-10</x:v>
      </x:c>
      <x:c r="B15" s="10" t="str">
        <x:v>Deployment Options</x:v>
      </x:c>
      <x:c r="C15" s="10" t="str">
        <x:v>Feature card</x:v>
      </x:c>
      <x:c r="D15" s="10" t="str">
        <x:v>Bring the right people into the rollout.</x:v>
      </x:c>
      <x:c r="E15" s="10" t="str">
        <x:v>A113</x:v>
      </x:c>
      <x:c r="F15" s="10" t="str">
        <x:v>A rollout checklist assigning infrastructure, security and operational tasks to team owners.</x:v>
      </x:c>
      <x:c r="G15" s="10" t="str">
        <x:v>Rework</x:v>
      </x:c>
      <x:c r="H15" s="10" t="str">
        <x:f>'Production assets'!F118</x:f>
        <x:v>Not started</x:v>
      </x:c>
      <x:c r="I15" s="10" t="str">
        <x:v>1200 x 1000 WebP crop of shared master</x:v>
      </x:c>
      <x:c r="J15" s="10" t="str">
        <x:v>Existing product image</x:v>
      </x:c>
      <x:c r="K15" s="10" t="str">
        <x:v>/brand/platform/deployment-options/support-innflow.png</x:v>
      </x:c>
      <x:c r="L15" s="10" t="str">
        <x:v>320 x 267</x:v>
      </x:c>
      <x:c r="M15" s="10" t="str">
        <x:v>Pale mint, aqua, blue, navy</x:v>
      </x:c>
      <x:c r="N15" s="10" t="str">
        <x:v>Preserve the existing CSS gradient. Export foreground separately with transparent background. Keep key UI within the central 80%.</x:v>
      </x:c>
      <x:c r="O15" s="10" t="str">
        <x:v>http://localhost:3000/platform/deployment-options#support</x:v>
      </x:c>
    </x:row>
    <x:row r="16" ht="51" customHeight="1">
      <x:c r="A16" s="5" t="str">
        <x:v>P15-11</x:v>
      </x:c>
      <x:c r="B16" s="5" t="str">
        <x:v>Deployment Options</x:v>
      </x:c>
      <x:c r="C16" s="5" t="str">
        <x:v>Feature detail</x:v>
      </x:c>
      <x:c r="D16" s="5" t="str">
        <x:v>Start with the operational requirements.</x:v>
      </x:c>
      <x:c r="E16" s="5" t="str">
        <x:v>A106</x:v>
      </x:c>
      <x:c r="F16" s="5" t="str">
        <x:v>A hosted environment overview showing the application, managed services and team access boundary.</x:v>
      </x:c>
      <x:c r="G16" s="5" t="str">
        <x:v>Rework</x:v>
      </x:c>
      <x:c r="H16" s="5" t="str">
        <x:f>'Production assets'!F111</x:f>
        <x:v>Not started</x:v>
      </x:c>
      <x:c r="I16" s="5" t="str">
        <x:v>Editable SVG/layers + 1200 x 1200 WebP</x:v>
      </x:c>
      <x:c r="J16" s="5" t="str">
        <x:v>Existing product image</x:v>
      </x:c>
      <x:c r="K16" s="5" t="str">
        <x:v>/brand/platform/deployment-options/cloud.jpg</x:v>
      </x:c>
      <x:c r="L16" s="5" t="str">
        <x:v>580 x 580</x:v>
      </x:c>
      <x:c r="M16" s="5" t="str">
        <x:v>Pale mint, aqua, blue, navy</x:v>
      </x:c>
      <x:c r="N16" s="5" t="str">
        <x:v>Preserve the existing CSS gradient. Export foreground separately with transparent background. Keep key UI within the central 80%.</x:v>
      </x:c>
      <x:c r="O16" s="5" t="str">
        <x:v>http://localhost:3000/platform/deployment-options#cloud</x:v>
      </x:c>
    </x:row>
    <x:row r="17" ht="51" customHeight="1">
      <x:c r="A17" s="10" t="str">
        <x:v>P15-12</x:v>
      </x:c>
      <x:c r="B17" s="10" t="str">
        <x:v>Deployment Options</x:v>
      </x:c>
      <x:c r="C17" s="10" t="str">
        <x:v>Feature detail</x:v>
      </x:c>
      <x:c r="D17" s="10" t="str">
        <x:v>Define the boundaries of a dedicated setup.</x:v>
      </x:c>
      <x:c r="E17" s="10" t="str">
        <x:v>A107</x:v>
      </x:c>
      <x:c r="F17" s="10" t="str">
        <x:v>A dedicated environment architecture enclosed within a clearly labeled private boundary.</x:v>
      </x:c>
      <x:c r="G17" s="10" t="str">
        <x:v>Rework</x:v>
      </x:c>
      <x:c r="H17" s="10" t="str">
        <x:f>'Production assets'!F112</x:f>
        <x:v>Not started</x:v>
      </x:c>
      <x:c r="I17" s="10" t="str">
        <x:v>Editable SVG/layers + 1200 x 1200 WebP</x:v>
      </x:c>
      <x:c r="J17" s="10" t="str">
        <x:v>Existing product image</x:v>
      </x:c>
      <x:c r="K17" s="10" t="str">
        <x:v>/brand/platform/deployment-options/private-innflow.png</x:v>
      </x:c>
      <x:c r="L17" s="10" t="str">
        <x:v>532 x 532</x:v>
      </x:c>
      <x:c r="M17" s="10" t="str">
        <x:v>Pale mint, aqua, blue, navy</x:v>
      </x:c>
      <x:c r="N17" s="10" t="str">
        <x:v>Preserve the existing CSS gradient. Export foreground separately with transparent background. Keep key UI within the central 80%.</x:v>
      </x:c>
      <x:c r="O17" s="10" t="str">
        <x:v>http://localhost:3000/platform/deployment-options#private</x:v>
      </x:c>
    </x:row>
    <x:row r="18" ht="51" customHeight="1">
      <x:c r="A18" s="5" t="str">
        <x:v>P15-13</x:v>
      </x:c>
      <x:c r="B18" s="5" t="str">
        <x:v>Deployment Options</x:v>
      </x:c>
      <x:c r="C18" s="5" t="str">
        <x:v>Feature detail</x:v>
      </x:c>
      <x:c r="D18" s="5" t="str">
        <x:v>Map responsibilities within your environment.</x:v>
      </x:c>
      <x:c r="E18" s="5" t="str">
        <x:v>A108</x:v>
      </x:c>
      <x:c r="F18" s="5" t="str">
        <x:v>An on-premise architecture with infrastructure ownership and operational responsibilities labeled.</x:v>
      </x:c>
      <x:c r="G18" s="5" t="str">
        <x:v>Rework</x:v>
      </x:c>
      <x:c r="H18" s="5" t="str">
        <x:f>'Production assets'!F113</x:f>
        <x:v>Not started</x:v>
      </x:c>
      <x:c r="I18" s="5" t="str">
        <x:v>Editable SVG/layers + 1200 x 1200 WebP</x:v>
      </x:c>
      <x:c r="J18" s="5" t="str">
        <x:v>Existing product image</x:v>
      </x:c>
      <x:c r="K18" s="5" t="str">
        <x:v>/brand/platform/deployment-options/on-premise-innflow.png</x:v>
      </x:c>
      <x:c r="L18" s="5" t="str">
        <x:v>580 x 580</x:v>
      </x:c>
      <x:c r="M18" s="5" t="str">
        <x:v>Pale mint, aqua, blue, navy</x:v>
      </x:c>
      <x:c r="N18" s="5" t="str">
        <x:v>Preserve the existing CSS gradient. Export foreground separately with transparent background. Keep key UI within the central 80%.</x:v>
      </x:c>
      <x:c r="O18" s="5" t="str">
        <x:v>http://localhost:3000/platform/deployment-options#on-premise</x:v>
      </x:c>
    </x:row>
    <x:row r="19" ht="51" customHeight="1">
      <x:c r="A19" s="10" t="str">
        <x:v>P15-14</x:v>
      </x:c>
      <x:c r="B19" s="10" t="str">
        <x:v>Deployment Options</x:v>
      </x:c>
      <x:c r="C19" s="10" t="str">
        <x:v>Feature detail</x:v>
      </x:c>
      <x:c r="D19" s="10" t="str">
        <x:v>Choose model access deliberately.</x:v>
      </x:c>
      <x:c r="E19" s="10" t="str">
        <x:v>A109</x:v>
      </x:c>
      <x:c r="F19" s="10" t="str">
        <x:v>A model access chooser connecting approved providers to the deployment environment.</x:v>
      </x:c>
      <x:c r="G19" s="10" t="str">
        <x:v>Rework</x:v>
      </x:c>
      <x:c r="H19" s="10" t="str">
        <x:f>'Production assets'!F114</x:f>
        <x:v>Not started</x:v>
      </x:c>
      <x:c r="I19" s="10" t="str">
        <x:v>Editable SVG/layers + 1200 x 1200 WebP</x:v>
      </x:c>
      <x:c r="J19" s="10" t="str">
        <x:v>Existing product image</x:v>
      </x:c>
      <x:c r="K19" s="10" t="str">
        <x:v>/brand/platform/deployment-options/models.jpg</x:v>
      </x:c>
      <x:c r="L19" s="10" t="str">
        <x:v>532 x 532</x:v>
      </x:c>
      <x:c r="M19" s="10" t="str">
        <x:v>Pale mint, aqua, blue, navy</x:v>
      </x:c>
      <x:c r="N19" s="10" t="str">
        <x:v>Preserve the existing CSS gradient. Export foreground separately with transparent background. Keep key UI within the central 80%.</x:v>
      </x:c>
      <x:c r="O19" s="10" t="str">
        <x:v>http://localhost:3000/platform/deployment-options#models</x:v>
      </x:c>
    </x:row>
    <x:row r="20" ht="51" customHeight="1">
      <x:c r="A20" s="5" t="str">
        <x:v>P15-15</x:v>
      </x:c>
      <x:c r="B20" s="5" t="str">
        <x:v>Deployment Options</x:v>
      </x:c>
      <x:c r="C20" s="5" t="str">
        <x:v>Feature detail</x:v>
      </x:c>
      <x:c r="D20" s="5" t="str">
        <x:v>Account for where data needs to stay.</x:v>
      </x:c>
      <x:c r="E20" s="5" t="str">
        <x:v>A110</x:v>
      </x:c>
      <x:c r="F20" s="5" t="str">
        <x:v>A regional deployment map with a selected data location and defined storage boundary.</x:v>
      </x:c>
      <x:c r="G20" s="5" t="str">
        <x:v>Rework</x:v>
      </x:c>
      <x:c r="H20" s="5" t="str">
        <x:f>'Production assets'!F115</x:f>
        <x:v>Not started</x:v>
      </x:c>
      <x:c r="I20" s="5" t="str">
        <x:v>Editable SVG/layers + 1200 x 1200 WebP</x:v>
      </x:c>
      <x:c r="J20" s="5" t="str">
        <x:v>Existing product image</x:v>
      </x:c>
      <x:c r="K20" s="5" t="str">
        <x:v>/brand/platform/deployment-options/regions.jpg</x:v>
      </x:c>
      <x:c r="L20" s="5" t="str">
        <x:v>580 x 580</x:v>
      </x:c>
      <x:c r="M20" s="5" t="str">
        <x:v>Pale mint, aqua, blue, navy</x:v>
      </x:c>
      <x:c r="N20" s="5" t="str">
        <x:v>Preserve the existing CSS gradient. Export foreground separately with transparent background. Keep key UI within the central 80%.</x:v>
      </x:c>
      <x:c r="O20" s="5" t="str">
        <x:v>http://localhost:3000/platform/deployment-options#regions</x:v>
      </x:c>
    </x:row>
    <x:row r="21" ht="51" customHeight="1">
      <x:c r="A21" s="10" t="str">
        <x:v>P15-16</x:v>
      </x:c>
      <x:c r="B21" s="10" t="str">
        <x:v>Deployment Options</x:v>
      </x:c>
      <x:c r="C21" s="10" t="str">
        <x:v>Feature detail</x:v>
      </x:c>
      <x:c r="D21" s="10" t="str">
        <x:v>Prepare for a change of environment.</x:v>
      </x:c>
      <x:c r="E21" s="10" t="str">
        <x:v>A111</x:v>
      </x:c>
      <x:c r="F21" s="10" t="str">
        <x:v>A staged migration path from source environment through validation to the destination.</x:v>
      </x:c>
      <x:c r="G21" s="10" t="str">
        <x:v>Rework</x:v>
      </x:c>
      <x:c r="H21" s="10" t="str">
        <x:f>'Production assets'!F116</x:f>
        <x:v>Not started</x:v>
      </x:c>
      <x:c r="I21" s="10" t="str">
        <x:v>Editable SVG/layers + 1200 x 1200 WebP</x:v>
      </x:c>
      <x:c r="J21" s="10" t="str">
        <x:v>Existing product image</x:v>
      </x:c>
      <x:c r="K21" s="10" t="str">
        <x:v>/brand/platform/deployment-options/migration-innflow.png</x:v>
      </x:c>
      <x:c r="L21" s="10" t="str">
        <x:v>532 x 532</x:v>
      </x:c>
      <x:c r="M21" s="10" t="str">
        <x:v>Pale mint, aqua, blue, navy</x:v>
      </x:c>
      <x:c r="N21" s="10" t="str">
        <x:v>Preserve the existing CSS gradient. Export foreground separately with transparent background. Keep key UI within the central 80%.</x:v>
      </x:c>
      <x:c r="O21" s="10" t="str">
        <x:v>http://localhost:3000/platform/deployment-options#migration</x:v>
      </x:c>
    </x:row>
    <x:row r="22" ht="51" customHeight="1">
      <x:c r="A22" s="5" t="str">
        <x:v>P15-17</x:v>
      </x:c>
      <x:c r="B22" s="5" t="str">
        <x:v>Deployment Options</x:v>
      </x:c>
      <x:c r="C22" s="5" t="str">
        <x:v>Feature detail</x:v>
      </x:c>
      <x:c r="D22" s="5" t="str">
        <x:v>Agree on the controls the environment needs.</x:v>
      </x:c>
      <x:c r="E22" s="5" t="str">
        <x:v>A112</x:v>
      </x:c>
      <x:c r="F22" s="5" t="str">
        <x:v>An environment policy panel with roles, access boundaries and review controls.</x:v>
      </x:c>
      <x:c r="G22" s="5" t="str">
        <x:v>Rework</x:v>
      </x:c>
      <x:c r="H22" s="5" t="str">
        <x:f>'Production assets'!F117</x:f>
        <x:v>Not started</x:v>
      </x:c>
      <x:c r="I22" s="5" t="str">
        <x:v>Editable SVG/layers + 1200 x 1200 WebP</x:v>
      </x:c>
      <x:c r="J22" s="5" t="str">
        <x:v>Existing product image</x:v>
      </x:c>
      <x:c r="K22" s="5" t="str">
        <x:v>/brand/platform/deployment-options/governance.jpg</x:v>
      </x:c>
      <x:c r="L22" s="5" t="str">
        <x:v>580 x 580</x:v>
      </x:c>
      <x:c r="M22" s="5" t="str">
        <x:v>Pale mint, aqua, blue, navy</x:v>
      </x:c>
      <x:c r="N22" s="5" t="str">
        <x:v>Preserve the existing CSS gradient. Export foreground separately with transparent background. Keep key UI within the central 80%.</x:v>
      </x:c>
      <x:c r="O22" s="5" t="str">
        <x:v>http://localhost:3000/platform/deployment-options#governance</x:v>
      </x:c>
    </x:row>
    <x:row r="23" ht="51" customHeight="1">
      <x:c r="A23" s="10" t="str">
        <x:v>P15-18</x:v>
      </x:c>
      <x:c r="B23" s="10" t="str">
        <x:v>Deployment Options</x:v>
      </x:c>
      <x:c r="C23" s="10" t="str">
        <x:v>Feature detail</x:v>
      </x:c>
      <x:c r="D23" s="10" t="str">
        <x:v>Bring the right people into the rollout.</x:v>
      </x:c>
      <x:c r="E23" s="10" t="str">
        <x:v>A113</x:v>
      </x:c>
      <x:c r="F23" s="10" t="str">
        <x:v>A rollout checklist assigning infrastructure, security and operational tasks to team owners.</x:v>
      </x:c>
      <x:c r="G23" s="10" t="str">
        <x:v>Rework</x:v>
      </x:c>
      <x:c r="H23" s="10" t="str">
        <x:f>'Production assets'!F118</x:f>
        <x:v>Not started</x:v>
      </x:c>
      <x:c r="I23" s="10" t="str">
        <x:v>Editable SVG/layers + 1200 x 1200 WebP</x:v>
      </x:c>
      <x:c r="J23" s="10" t="str">
        <x:v>Existing product image</x:v>
      </x:c>
      <x:c r="K23" s="10" t="str">
        <x:v>/brand/platform/deployment-options/support-innflow.png</x:v>
      </x:c>
      <x:c r="L23" s="10" t="str">
        <x:v>532 x 532</x:v>
      </x:c>
      <x:c r="M23" s="10" t="str">
        <x:v>Pale mint, aqua, blue, navy</x:v>
      </x:c>
      <x:c r="N23" s="10" t="str">
        <x:v>Preserve the existing CSS gradient. Export foreground separately with transparent background. Keep key UI within the central 80%.</x:v>
      </x:c>
      <x:c r="O23" s="10" t="str">
        <x:v>http://localhost:3000/platform/deployment-options#support</x:v>
      </x:c>
    </x:row>
    <x:row r="24" ht="38" customHeight="1">
      <x:c r="A24" s="5" t="str">
        <x:v>P15-19</x:v>
      </x:c>
      <x:c r="B24" s="5" t="str">
        <x:v>Deployment Options</x:v>
      </x:c>
      <x:c r="C24" s="5" t="str">
        <x:v>Related product thumbnail</x:v>
      </x:c>
      <x:c r="D24" s="5" t="str">
        <x:v>Platform</x:v>
      </x:c>
      <x:c r="E24" s="5" t="str">
        <x:v>A015</x:v>
      </x:c>
      <x:c r="F24" s="5" t="str">
        <x:v>A compact workspace overview linking agents, tools and shared knowledge.</x:v>
      </x:c>
      <x:c r="G24" s="5" t="str">
        <x:v>Create</x:v>
      </x:c>
      <x:c r="H24" s="5" t="str">
        <x:f>'Production assets'!F20</x:f>
        <x:v>Not started</x:v>
      </x:c>
      <x:c r="I24" s="5" t="str">
        <x:v>Editable SVG + 1200 x 1000 WebP</x:v>
      </x:c>
      <x:c r="J24" s="5" t="str">
        <x:v>Generic star on gradient</x:v>
      </x:c>
      <x:c r="K24" s="5" t="str">
        <x:v>/brand/calendly/assistant-hero.svg + star glyph</x:v>
      </x:c>
      <x:c r="L24" s="5" t="str">
        <x:v>227 x 189</x:v>
      </x:c>
      <x:c r="M24" s="5" t="str">
        <x:v>Ice blue, white, teal, deep green</x:v>
      </x:c>
      <x:c r="N24" s="5" t="str">
        <x:v>Create once and reuse across related-product cards and the Platform card rail. Keep the gradient separate.</x:v>
      </x:c>
      <x:c r="O24" s="5" t="str">
        <x:v>http://localhost:3000/platform/deployment-options</x:v>
      </x:c>
    </x:row>
    <x:row r="25" ht="38" customHeight="1">
      <x:c r="A25" s="10" t="str">
        <x:v>P15-20</x:v>
      </x:c>
      <x:c r="B25" s="10" t="str">
        <x:v>Deployment Options</x:v>
      </x:c>
      <x:c r="C25" s="10" t="str">
        <x:v>Related product thumbnail</x:v>
      </x:c>
      <x:c r="D25" s="10" t="str">
        <x:v>Integrations</x:v>
      </x:c>
      <x:c r="E25" s="10" t="str">
        <x:v>A006</x:v>
      </x:c>
      <x:c r="F25" s="10" t="str">
        <x:v>A central Innflow node connected to a small set of tool tiles.</x:v>
      </x:c>
      <x:c r="G25" s="10" t="str">
        <x:v>Create</x:v>
      </x:c>
      <x:c r="H25" s="10" t="str">
        <x:f>'Production assets'!F11</x:f>
        <x:v>Not started</x:v>
      </x:c>
      <x:c r="I25" s="10" t="str">
        <x:v>Editable SVG + 1200 x 1000 WebP</x:v>
      </x:c>
      <x:c r="J25" s="10" t="str">
        <x:v>Generic star on gradient</x:v>
      </x:c>
      <x:c r="K25" s="10" t="str">
        <x:v>/brand/calendly/scheduling-hero.svg + star glyph</x:v>
      </x:c>
      <x:c r="L25" s="10" t="str">
        <x:v>227 x 189</x:v>
      </x:c>
      <x:c r="M25" s="10" t="str">
        <x:v>Sky blue, pale aqua, navy</x:v>
      </x:c>
      <x:c r="N25" s="10" t="str">
        <x:v>Create once and reuse across related-product cards and the Platform card rail. Keep the gradient separate.</x:v>
      </x:c>
      <x:c r="O25" s="10" t="str">
        <x:v>http://localhost:3000/platform/deployment-options</x:v>
      </x:c>
    </x:row>
    <x:row r="26" ht="38" customHeight="1">
      <x:c r="A26" s="5" t="str">
        <x:v>P15-21</x:v>
      </x:c>
      <x:c r="B26" s="5" t="str">
        <x:v>Deployment Options</x:v>
      </x:c>
      <x:c r="C26" s="5" t="str">
        <x:v>Related product thumbnail</x:v>
      </x:c>
      <x:c r="D26" s="5" t="str">
        <x:v>Agentic Workflows</x:v>
      </x:c>
      <x:c r="E26" s="5" t="str">
        <x:v>A010</x:v>
      </x:c>
      <x:c r="F26" s="5" t="str">
        <x:v>A compact workflow canvas with trigger, branch and action nodes.</x:v>
      </x:c>
      <x:c r="G26" s="5" t="str">
        <x:v>Create</x:v>
      </x:c>
      <x:c r="H26" s="5" t="str">
        <x:f>'Production assets'!F15</x:f>
        <x:v>Not started</x:v>
      </x:c>
      <x:c r="I26" s="5" t="str">
        <x:v>Editable SVG + 1200 x 1000 WebP</x:v>
      </x:c>
      <x:c r="J26" s="5" t="str">
        <x:v>Generic star on gradient</x:v>
      </x:c>
      <x:c r="K26" s="5" t="str">
        <x:v>/brand/calendly/notetaker-hero.svg + star glyph</x:v>
      </x:c>
      <x:c r="L26" s="5" t="str">
        <x:v>227 x 189</x:v>
      </x:c>
      <x:c r="M26" s="5" t="str">
        <x:v>Navy, blue, blush, lavender</x:v>
      </x:c>
      <x:c r="N26" s="5" t="str">
        <x:v>Create once and reuse across related-product cards and the Platform card rail. Keep the gradient separate.</x:v>
      </x:c>
      <x:c r="O26" s="5" t="str">
        <x:v>http://localhost:3000/platform/deployment-options</x:v>
      </x:c>
    </x:row>
    <x:row r="27" ht="38" customHeight="1">
      <x:c r="A27" s="10" t="str">
        <x:v>P15-22</x:v>
      </x:c>
      <x:c r="B27" s="10" t="str">
        <x:v>Deployment Options</x:v>
      </x:c>
      <x:c r="C27" s="10" t="str">
        <x:v>Related product thumbnail</x:v>
      </x:c>
      <x:c r="D27" s="10" t="str">
        <x:v>Agent OS</x:v>
      </x:c>
      <x:c r="E27" s="10" t="str">
        <x:v>A011</x:v>
      </x:c>
      <x:c r="F27" s="10" t="str">
        <x:v>A small orchestration graph connecting agents and shared memory.</x:v>
      </x:c>
      <x:c r="G27" s="10" t="str">
        <x:v>Create</x:v>
      </x:c>
      <x:c r="H27" s="10" t="str">
        <x:f>'Production assets'!F16</x:f>
        <x:v>Not started</x:v>
      </x:c>
      <x:c r="I27" s="10" t="str">
        <x:v>Editable SVG + 1200 x 1000 WebP</x:v>
      </x:c>
      <x:c r="J27" s="10" t="str">
        <x:v>Generic star on gradient</x:v>
      </x:c>
      <x:c r="K27" s="10" t="str">
        <x:v>/brand/calendly/contacts-hero.svg + star glyph</x:v>
      </x:c>
      <x:c r="L27" s="10" t="str">
        <x:v>227 x 189</x:v>
      </x:c>
      <x:c r="M27" s="10" t="str">
        <x:v>Cream, peach, pink, blue</x:v>
      </x:c>
      <x:c r="N27" s="10" t="str">
        <x:v>Create once and reuse across related-product cards and the Platform card rail. Keep the gradient separate.</x:v>
      </x:c>
      <x:c r="O27" s="10" t="str">
        <x:v>http://localhost:3000/platform/deployment-options</x:v>
      </x:c>
    </x:row>
    <x:row r="28" ht="38" customHeight="1">
      <x:c r="A28" s="5" t="str">
        <x:v>P15-23</x:v>
      </x:c>
      <x:c r="B28" s="5" t="str">
        <x:v>Deployment Options</x:v>
      </x:c>
      <x:c r="C28" s="5" t="str">
        <x:v>Related product thumbnail</x:v>
      </x:c>
      <x:c r="D28" s="5" t="str">
        <x:v>AI Agents</x:v>
      </x:c>
      <x:c r="E28" s="5" t="str">
        <x:v>A012</x:v>
      </x:c>
      <x:c r="F28" s="5" t="str">
        <x:v>An agent task card with linked evidence and a proposed next action.</x:v>
      </x:c>
      <x:c r="G28" s="5" t="str">
        <x:v>Create</x:v>
      </x:c>
      <x:c r="H28" s="5" t="str">
        <x:f>'Production assets'!F17</x:f>
        <x:v>Not started</x:v>
      </x:c>
      <x:c r="I28" s="5" t="str">
        <x:v>Editable SVG + 1200 x 1000 WebP</x:v>
      </x:c>
      <x:c r="J28" s="5" t="str">
        <x:v>Generic star on gradient</x:v>
      </x:c>
      <x:c r="K28" s="5" t="str">
        <x:v>/brand/calendly/payments-hero.svg + star glyph</x:v>
      </x:c>
      <x:c r="L28" s="5" t="str">
        <x:v>227 x 189</x:v>
      </x:c>
      <x:c r="M28" s="5" t="str">
        <x:v>Pale mint, aqua, blue, navy</x:v>
      </x:c>
      <x:c r="N28" s="5" t="str">
        <x:v>Create once and reuse across related-product cards and the Platform card rail. Keep the gradient separate.</x:v>
      </x:c>
      <x:c r="O28" s="5" t="str">
        <x:v>http://localhost:3000/platform/deployment-options</x:v>
      </x:c>
    </x:row>
  </x:sheetData>
  <x:pageMargins left="0.7" right="0.7" top="0.75" bottom="0.75" header="0.3" footer="0.3"/>
  <x:tableParts count="1">
    <x:tablePart xmlns:r="http://schemas.openxmlformats.org/officeDocument/2006/relationships" r:id="Re78f1f21978141bb"/>
  </x:tableParts>
</x:worksheet>
</file>

<file path=xl/worksheets/sheet19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4" hidden="0" customWidth="1"/>
    <x:col min="2" max="2" width="25" hidden="0" customWidth="1"/>
    <x:col min="3" max="3" width="24" hidden="0" customWidth="1"/>
    <x:col min="4" max="4" width="40" hidden="0" customWidth="1"/>
    <x:col min="5" max="5" width="12" hidden="0" customWidth="1"/>
    <x:col min="6" max="6" width="76" hidden="0" customWidth="1"/>
    <x:col min="7" max="7" width="14" hidden="0" customWidth="1"/>
    <x:col min="8" max="8" width="17" hidden="0" customWidth="1"/>
    <x:col min="9" max="9" width="40" hidden="0" customWidth="1"/>
    <x:col min="10" max="10" width="28" hidden="0" customWidth="1"/>
    <x:col min="11" max="11" width="65" hidden="0" customWidth="1"/>
    <x:col min="12" max="12" width="18" hidden="0" customWidth="1"/>
    <x:col min="13" max="13" width="30" hidden="0" customWidth="1"/>
    <x:col min="14" max="14" width="65" hidden="0" customWidth="1"/>
    <x:col min="15" max="15" width="6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>
      <x:c r="A2" s="2" t="str">
        <x:v>Security and Compliance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>
      <x:c r="A3" s="3" t="str">
        <x:v>/platform/security-and-compliance | Assistant reference. Status links to Production assets.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30" customHeight="1">
      <x:c r="A5" s="9" t="str">
        <x:v>Placement ID</x:v>
      </x:c>
      <x:c r="B5" s="9" t="str">
        <x:v>Page</x:v>
      </x:c>
      <x:c r="C5" s="9" t="str">
        <x:v>Section</x:v>
      </x:c>
      <x:c r="D5" s="9" t="str">
        <x:v>Section title</x:v>
      </x:c>
      <x:c r="E5" s="9" t="str">
        <x:v>Asset ID</x:v>
      </x:c>
      <x:c r="F5" s="9" t="str">
        <x:v>Recommended artwork</x:v>
      </x:c>
      <x:c r="G5" s="9" t="str">
        <x:v>Action</x:v>
      </x:c>
      <x:c r="H5" s="9" t="str">
        <x:v>Status</x:v>
      </x:c>
      <x:c r="I5" s="9" t="str">
        <x:v>Recommended deliverable</x:v>
      </x:c>
      <x:c r="J5" s="9" t="str">
        <x:v>Current artwork</x:v>
      </x:c>
      <x:c r="K5" s="9" t="str">
        <x:v>Current sources</x:v>
      </x:c>
      <x:c r="L5" s="9" t="str">
        <x:v>Desktop size (px)</x:v>
      </x:c>
      <x:c r="M5" s="9" t="str">
        <x:v>Gradient palette</x:v>
      </x:c>
      <x:c r="N5" s="9" t="str">
        <x:v>Reuse and crop notes</x:v>
      </x:c>
      <x:c r="O5" s="9" t="str">
        <x:v>Page reference</x:v>
      </x:c>
    </x:row>
    <x:row r="6" ht="38" customHeight="1">
      <x:c r="A6" s="5" t="str">
        <x:v>P16-01</x:v>
      </x:c>
      <x:c r="B6" s="5" t="str">
        <x:v>Security and Compliance</x:v>
      </x:c>
      <x:c r="C6" s="5" t="str">
        <x:v>Hero background</x:v>
      </x:c>
      <x:c r="D6" s="5" t="str">
        <x:v>Build trust into the way work gets done.</x:v>
      </x:c>
      <x:c r="E6" s="5" t="str">
        <x:v>A001</x:v>
      </x:c>
      <x:c r="F6" s="5" t="str">
        <x:v>Reuse the existing Paper SVG as a separate background layer. No new background required.</x:v>
      </x:c>
      <x:c r="G6" s="5" t="str">
        <x:v>Reuse</x:v>
      </x:c>
      <x:c r="H6" s="5" t="str">
        <x:f>'Production assets'!F6</x:f>
        <x:v>Existing</x:v>
      </x:c>
      <x:c r="I6" s="5" t="str">
        <x:v>Existing scalable SVG</x:v>
      </x:c>
      <x:c r="J6" s="5" t="str">
        <x:v>Existing background</x:v>
      </x:c>
      <x:c r="K6" s="5" t="str">
        <x:v>/brand/calendly/assistant-hero.svg</x:v>
      </x:c>
      <x:c r="L6" s="5" t="str">
        <x:v>1387 x 776</x:v>
      </x:c>
      <x:c r="M6" s="5" t="str">
        <x:v>Ice blue, white, teal, deep green</x:v>
      </x:c>
      <x:c r="N6" s="5" t="str">
        <x:v>Shared by every page using this style.</x:v>
      </x:c>
      <x:c r="O6" s="5" t="str">
        <x:v>http://localhost:3000/platform/security-and-compliance</x:v>
      </x:c>
    </x:row>
    <x:row r="7" ht="51" customHeight="1">
      <x:c r="A7" s="10" t="str">
        <x:v>P16-02</x:v>
      </x:c>
      <x:c r="B7" s="10" t="str">
        <x:v>Security and Compliance</x:v>
      </x:c>
      <x:c r="C7" s="10" t="str">
        <x:v>Capability overview</x:v>
      </x:c>
      <x:c r="D7" s="10" t="str">
        <x:v>Compliance review</x:v>
      </x:c>
      <x:c r="E7" s="10" t="str">
        <x:v>A114</x:v>
      </x:c>
      <x:c r="F7" s="10" t="str">
        <x:v>An evidence library with policy and review documents grouped for assessment. Avoid unverified certification badges.</x:v>
      </x:c>
      <x:c r="G7" s="10" t="str">
        <x:v>Rework</x:v>
      </x:c>
      <x:c r="H7" s="10" t="str">
        <x:f>'Production assets'!F119</x:f>
        <x:v>Not started</x:v>
      </x:c>
      <x:c r="I7" s="10" t="str">
        <x:v>Editable SVG/layers + 1200 x 1200 WebP</x:v>
      </x:c>
      <x:c r="J7" s="10" t="str">
        <x:v>Existing product image</x:v>
      </x:c>
      <x:c r="K7" s="10" t="str">
        <x:v>/brand/platform/security-and-compliance/compliance.png</x:v>
      </x:c>
      <x:c r="L7" s="10" t="str">
        <x:v>580 x 580</x:v>
      </x:c>
      <x:c r="M7" s="10" t="str">
        <x:v>Ice blue, white, teal, deep green</x:v>
      </x:c>
      <x:c r="N7" s="10" t="str">
        <x:v>Preserve the existing CSS gradient. Export foreground separately with transparent background. Keep key UI within the central 80%. Reuses the first feature detail artwork.</x:v>
      </x:c>
      <x:c r="O7" s="10" t="str">
        <x:v>http://localhost:3000/platform/security-and-compliance#compliance</x:v>
      </x:c>
    </x:row>
    <x:row r="8" ht="51" customHeight="1">
      <x:c r="A8" s="5" t="str">
        <x:v>P16-03</x:v>
      </x:c>
      <x:c r="B8" s="5" t="str">
        <x:v>Security and Compliance</x:v>
      </x:c>
      <x:c r="C8" s="5" t="str">
        <x:v>Feature card</x:v>
      </x:c>
      <x:c r="D8" s="5" t="str">
        <x:v>Start with the evidence your team needs.</x:v>
      </x:c>
      <x:c r="E8" s="5" t="str">
        <x:v>A114</x:v>
      </x:c>
      <x:c r="F8" s="5" t="str">
        <x:v>An evidence library with policy and review documents grouped for assessment. Avoid unverified certification badges.</x:v>
      </x:c>
      <x:c r="G8" s="5" t="str">
        <x:v>Rework</x:v>
      </x:c>
      <x:c r="H8" s="5" t="str">
        <x:f>'Production assets'!F119</x:f>
        <x:v>Not started</x:v>
      </x:c>
      <x:c r="I8" s="5" t="str">
        <x:v>1200 x 1000 WebP crop of shared master</x:v>
      </x:c>
      <x:c r="J8" s="5" t="str">
        <x:v>Existing product image</x:v>
      </x:c>
      <x:c r="K8" s="5" t="str">
        <x:v>/brand/platform/security-and-compliance/compliance.png</x:v>
      </x:c>
      <x:c r="L8" s="5" t="str">
        <x:v>320 x 267</x:v>
      </x:c>
      <x:c r="M8" s="5" t="str">
        <x:v>Ice blue, white, teal, deep green</x:v>
      </x:c>
      <x:c r="N8" s="5" t="str">
        <x:v>Preserve the existing CSS gradient. Export foreground separately with transparent background. Keep key UI within the central 80%.</x:v>
      </x:c>
      <x:c r="O8" s="5" t="str">
        <x:v>http://localhost:3000/platform/security-and-compliance#compliance</x:v>
      </x:c>
    </x:row>
    <x:row r="9" ht="51" customHeight="1">
      <x:c r="A9" s="10" t="str">
        <x:v>P16-04</x:v>
      </x:c>
      <x:c r="B9" s="10" t="str">
        <x:v>Security and Compliance</x:v>
      </x:c>
      <x:c r="C9" s="10" t="str">
        <x:v>Feature card</x:v>
      </x:c>
      <x:c r="D9" s="10" t="str">
        <x:v>Understand where information travels.</x:v>
      </x:c>
      <x:c r="E9" s="10" t="str">
        <x:v>A115</x:v>
      </x:c>
      <x:c r="F9" s="10" t="str">
        <x:v>A data-flow diagram showing collection, processing, storage and controlled sharing boundaries.</x:v>
      </x:c>
      <x:c r="G9" s="10" t="str">
        <x:v>Rework</x:v>
      </x:c>
      <x:c r="H9" s="10" t="str">
        <x:f>'Production assets'!F120</x:f>
        <x:v>Not started</x:v>
      </x:c>
      <x:c r="I9" s="10" t="str">
        <x:v>1200 x 1000 WebP crop of shared master</x:v>
      </x:c>
      <x:c r="J9" s="10" t="str">
        <x:v>Existing product image</x:v>
      </x:c>
      <x:c r="K9" s="10" t="str">
        <x:v>/brand/platform/security-and-compliance/privacy.png</x:v>
      </x:c>
      <x:c r="L9" s="10" t="str">
        <x:v>320 x 267</x:v>
      </x:c>
      <x:c r="M9" s="10" t="str">
        <x:v>Ice blue, white, teal, deep green</x:v>
      </x:c>
      <x:c r="N9" s="10" t="str">
        <x:v>Preserve the existing CSS gradient. Export foreground separately with transparent background. Keep key UI within the central 80%.</x:v>
      </x:c>
      <x:c r="O9" s="10" t="str">
        <x:v>http://localhost:3000/platform/security-and-compliance#privacy</x:v>
      </x:c>
    </x:row>
    <x:row r="10" ht="51" customHeight="1">
      <x:c r="A10" s="5" t="str">
        <x:v>P16-05</x:v>
      </x:c>
      <x:c r="B10" s="5" t="str">
        <x:v>Security and Compliance</x:v>
      </x:c>
      <x:c r="C10" s="5" t="str">
        <x:v>Feature card</x:v>
      </x:c>
      <x:c r="D10" s="5" t="str">
        <x:v>Make data handling explicit.</x:v>
      </x:c>
      <x:c r="E10" s="5" t="str">
        <x:v>A116</x:v>
      </x:c>
      <x:c r="F10" s="5" t="str">
        <x:v>A data-handling panel showing retention, deletion and storage settings.</x:v>
      </x:c>
      <x:c r="G10" s="5" t="str">
        <x:v>Rework</x:v>
      </x:c>
      <x:c r="H10" s="5" t="str">
        <x:f>'Production assets'!F121</x:f>
        <x:v>Not started</x:v>
      </x:c>
      <x:c r="I10" s="5" t="str">
        <x:v>1200 x 1000 WebP crop of shared master</x:v>
      </x:c>
      <x:c r="J10" s="5" t="str">
        <x:v>Existing product image</x:v>
      </x:c>
      <x:c r="K10" s="5" t="str">
        <x:v>/brand/platform/security-and-compliance/data.png</x:v>
      </x:c>
      <x:c r="L10" s="5" t="str">
        <x:v>320 x 267</x:v>
      </x:c>
      <x:c r="M10" s="5" t="str">
        <x:v>Ice blue, white, teal, deep green</x:v>
      </x:c>
      <x:c r="N10" s="5" t="str">
        <x:v>Preserve the existing CSS gradient. Export foreground separately with transparent background. Keep key UI within the central 80%.</x:v>
      </x:c>
      <x:c r="O10" s="5" t="str">
        <x:v>http://localhost:3000/platform/security-and-compliance#data</x:v>
      </x:c>
    </x:row>
    <x:row r="11" ht="51" customHeight="1">
      <x:c r="A11" s="10" t="str">
        <x:v>P16-06</x:v>
      </x:c>
      <x:c r="B11" s="10" t="str">
        <x:v>Security and Compliance</x:v>
      </x:c>
      <x:c r="C11" s="10" t="str">
        <x:v>Feature card</x:v>
      </x:c>
      <x:c r="D11" s="10" t="str">
        <x:v>Match access to responsibility.</x:v>
      </x:c>
      <x:c r="E11" s="10" t="str">
        <x:v>A117</x:v>
      </x:c>
      <x:c r="F11" s="10" t="str">
        <x:v>A role-and-permission matrix with a scoped access drawer and an approval step.</x:v>
      </x:c>
      <x:c r="G11" s="10" t="str">
        <x:v>Rework</x:v>
      </x:c>
      <x:c r="H11" s="10" t="str">
        <x:f>'Production assets'!F122</x:f>
        <x:v>Not started</x:v>
      </x:c>
      <x:c r="I11" s="10" t="str">
        <x:v>1200 x 1000 WebP crop of shared master</x:v>
      </x:c>
      <x:c r="J11" s="10" t="str">
        <x:v>Existing product image</x:v>
      </x:c>
      <x:c r="K11" s="10" t="str">
        <x:v>/brand/platform/security-and-compliance/access.png</x:v>
      </x:c>
      <x:c r="L11" s="10" t="str">
        <x:v>320 x 267</x:v>
      </x:c>
      <x:c r="M11" s="10" t="str">
        <x:v>Ice blue, white, teal, deep green</x:v>
      </x:c>
      <x:c r="N11" s="10" t="str">
        <x:v>Preserve the existing CSS gradient. Export foreground separately with transparent background. Keep key UI within the central 80%.</x:v>
      </x:c>
      <x:c r="O11" s="10" t="str">
        <x:v>http://localhost:3000/platform/security-and-compliance#access</x:v>
      </x:c>
    </x:row>
    <x:row r="12" ht="51" customHeight="1">
      <x:c r="A12" s="5" t="str">
        <x:v>P16-07</x:v>
      </x:c>
      <x:c r="B12" s="5" t="str">
        <x:v>Security and Compliance</x:v>
      </x:c>
      <x:c r="C12" s="5" t="str">
        <x:v>Feature card</x:v>
      </x:c>
      <x:c r="D12" s="5" t="str">
        <x:v>Keep actions explainable.</x:v>
      </x:c>
      <x:c r="E12" s="5" t="str">
        <x:v>A118</x:v>
      </x:c>
      <x:c r="F12" s="5" t="str">
        <x:v>An audit timeline showing actor, action, timestamp and the affected record.</x:v>
      </x:c>
      <x:c r="G12" s="5" t="str">
        <x:v>Rework</x:v>
      </x:c>
      <x:c r="H12" s="5" t="str">
        <x:f>'Production assets'!F123</x:f>
        <x:v>Not started</x:v>
      </x:c>
      <x:c r="I12" s="5" t="str">
        <x:v>1200 x 1000 WebP crop of shared master</x:v>
      </x:c>
      <x:c r="J12" s="5" t="str">
        <x:v>Existing product image</x:v>
      </x:c>
      <x:c r="K12" s="5" t="str">
        <x:v>/brand/platform/security-and-compliance/audit.png</x:v>
      </x:c>
      <x:c r="L12" s="5" t="str">
        <x:v>320 x 267</x:v>
      </x:c>
      <x:c r="M12" s="5" t="str">
        <x:v>Ice blue, white, teal, deep green</x:v>
      </x:c>
      <x:c r="N12" s="5" t="str">
        <x:v>Preserve the existing CSS gradient. Export foreground separately with transparent background. Keep key UI within the central 80%.</x:v>
      </x:c>
      <x:c r="O12" s="5" t="str">
        <x:v>http://localhost:3000/platform/security-and-compliance#audit</x:v>
      </x:c>
    </x:row>
    <x:row r="13" ht="51" customHeight="1">
      <x:c r="A13" s="10" t="str">
        <x:v>P16-08</x:v>
      </x:c>
      <x:c r="B13" s="10" t="str">
        <x:v>Security and Compliance</x:v>
      </x:c>
      <x:c r="C13" s="10" t="str">
        <x:v>Feature card</x:v>
      </x:c>
      <x:c r="D13" s="10" t="str">
        <x:v>Review protection across the data path.</x:v>
      </x:c>
      <x:c r="E13" s="10" t="str">
        <x:v>A119</x:v>
      </x:c>
      <x:c r="F13" s="10" t="str">
        <x:v>A data-path diagram marking transport and storage protection review points.</x:v>
      </x:c>
      <x:c r="G13" s="10" t="str">
        <x:v>Rework</x:v>
      </x:c>
      <x:c r="H13" s="10" t="str">
        <x:f>'Production assets'!F124</x:f>
        <x:v>Not started</x:v>
      </x:c>
      <x:c r="I13" s="10" t="str">
        <x:v>1200 x 1000 WebP crop of shared master</x:v>
      </x:c>
      <x:c r="J13" s="10" t="str">
        <x:v>Existing product image</x:v>
      </x:c>
      <x:c r="K13" s="10" t="str">
        <x:v>/brand/platform/security-and-compliance/encryption.png</x:v>
      </x:c>
      <x:c r="L13" s="10" t="str">
        <x:v>320 x 267</x:v>
      </x:c>
      <x:c r="M13" s="10" t="str">
        <x:v>Ice blue, white, teal, deep green</x:v>
      </x:c>
      <x:c r="N13" s="10" t="str">
        <x:v>Preserve the existing CSS gradient. Export foreground separately with transparent background. Keep key UI within the central 80%.</x:v>
      </x:c>
      <x:c r="O13" s="10" t="str">
        <x:v>http://localhost:3000/platform/security-and-compliance#encryption</x:v>
      </x:c>
    </x:row>
    <x:row r="14" ht="51" customHeight="1">
      <x:c r="A14" s="5" t="str">
        <x:v>P16-09</x:v>
      </x:c>
      <x:c r="B14" s="5" t="str">
        <x:v>Security and Compliance</x:v>
      </x:c>
      <x:c r="C14" s="5" t="str">
        <x:v>Feature card</x:v>
      </x:c>
      <x:c r="D14" s="5" t="str">
        <x:v>Review the inputs and actions an agent can use.</x:v>
      </x:c>
      <x:c r="E14" s="5" t="str">
        <x:v>A120</x:v>
      </x:c>
      <x:c r="F14" s="5" t="str">
        <x:v>An agent boundary view showing allowed inputs, scoped tools and restricted actions.</x:v>
      </x:c>
      <x:c r="G14" s="5" t="str">
        <x:v>Rework</x:v>
      </x:c>
      <x:c r="H14" s="5" t="str">
        <x:f>'Production assets'!F125</x:f>
        <x:v>Not started</x:v>
      </x:c>
      <x:c r="I14" s="5" t="str">
        <x:v>1200 x 1000 WebP crop of shared master</x:v>
      </x:c>
      <x:c r="J14" s="5" t="str">
        <x:v>Existing product image</x:v>
      </x:c>
      <x:c r="K14" s="5" t="str">
        <x:v>/brand/platform/security-and-compliance/ai-security.png</x:v>
      </x:c>
      <x:c r="L14" s="5" t="str">
        <x:v>320 x 267</x:v>
      </x:c>
      <x:c r="M14" s="5" t="str">
        <x:v>Ice blue, white, teal, deep green</x:v>
      </x:c>
      <x:c r="N14" s="5" t="str">
        <x:v>Preserve the existing CSS gradient. Export foreground separately with transparent background. Keep key UI within the central 80%.</x:v>
      </x:c>
      <x:c r="O14" s="5" t="str">
        <x:v>http://localhost:3000/platform/security-and-compliance#ai-security</x:v>
      </x:c>
    </x:row>
    <x:row r="15" ht="51" customHeight="1">
      <x:c r="A15" s="10" t="str">
        <x:v>P16-10</x:v>
      </x:c>
      <x:c r="B15" s="10" t="str">
        <x:v>Security and Compliance</x:v>
      </x:c>
      <x:c r="C15" s="10" t="str">
        <x:v>Feature card</x:v>
      </x:c>
      <x:c r="D15" s="10" t="str">
        <x:v>Include infrastructure in the security review.</x:v>
      </x:c>
      <x:c r="E15" s="10" t="str">
        <x:v>A121</x:v>
      </x:c>
      <x:c r="F15" s="10" t="str">
        <x:v>An infrastructure security diagram separating network, workload and administrative access.</x:v>
      </x:c>
      <x:c r="G15" s="10" t="str">
        <x:v>Rework</x:v>
      </x:c>
      <x:c r="H15" s="10" t="str">
        <x:f>'Production assets'!F126</x:f>
        <x:v>Not started</x:v>
      </x:c>
      <x:c r="I15" s="10" t="str">
        <x:v>1200 x 1000 WebP crop of shared master</x:v>
      </x:c>
      <x:c r="J15" s="10" t="str">
        <x:v>Existing product image</x:v>
      </x:c>
      <x:c r="K15" s="10" t="str">
        <x:v>/brand/platform/security-and-compliance/deployment-innflow.png</x:v>
      </x:c>
      <x:c r="L15" s="10" t="str">
        <x:v>320 x 267</x:v>
      </x:c>
      <x:c r="M15" s="10" t="str">
        <x:v>Ice blue, white, teal, deep green</x:v>
      </x:c>
      <x:c r="N15" s="10" t="str">
        <x:v>Preserve the existing CSS gradient. Export foreground separately with transparent background. Keep key UI within the central 80%.</x:v>
      </x:c>
      <x:c r="O15" s="10" t="str">
        <x:v>http://localhost:3000/platform/security-and-compliance#deployment</x:v>
      </x:c>
    </x:row>
    <x:row r="16" ht="51" customHeight="1">
      <x:c r="A16" s="5" t="str">
        <x:v>P16-11</x:v>
      </x:c>
      <x:c r="B16" s="5" t="str">
        <x:v>Security and Compliance</x:v>
      </x:c>
      <x:c r="C16" s="5" t="str">
        <x:v>Feature detail</x:v>
      </x:c>
      <x:c r="D16" s="5" t="str">
        <x:v>Start with the evidence your team needs.</x:v>
      </x:c>
      <x:c r="E16" s="5" t="str">
        <x:v>A114</x:v>
      </x:c>
      <x:c r="F16" s="5" t="str">
        <x:v>An evidence library with policy and review documents grouped for assessment. Avoid unverified certification badges.</x:v>
      </x:c>
      <x:c r="G16" s="5" t="str">
        <x:v>Rework</x:v>
      </x:c>
      <x:c r="H16" s="5" t="str">
        <x:f>'Production assets'!F119</x:f>
        <x:v>Not started</x:v>
      </x:c>
      <x:c r="I16" s="5" t="str">
        <x:v>Editable SVG/layers + 1200 x 1200 WebP</x:v>
      </x:c>
      <x:c r="J16" s="5" t="str">
        <x:v>Existing product image</x:v>
      </x:c>
      <x:c r="K16" s="5" t="str">
        <x:v>/brand/platform/security-and-compliance/compliance.png</x:v>
      </x:c>
      <x:c r="L16" s="5" t="str">
        <x:v>580 x 580</x:v>
      </x:c>
      <x:c r="M16" s="5" t="str">
        <x:v>Ice blue, white, teal, deep green</x:v>
      </x:c>
      <x:c r="N16" s="5" t="str">
        <x:v>Preserve the existing CSS gradient. Export foreground separately with transparent background. Keep key UI within the central 80%.</x:v>
      </x:c>
      <x:c r="O16" s="5" t="str">
        <x:v>http://localhost:3000/platform/security-and-compliance#compliance</x:v>
      </x:c>
    </x:row>
    <x:row r="17" ht="51" customHeight="1">
      <x:c r="A17" s="10" t="str">
        <x:v>P16-12</x:v>
      </x:c>
      <x:c r="B17" s="10" t="str">
        <x:v>Security and Compliance</x:v>
      </x:c>
      <x:c r="C17" s="10" t="str">
        <x:v>Feature detail</x:v>
      </x:c>
      <x:c r="D17" s="10" t="str">
        <x:v>Understand where information travels.</x:v>
      </x:c>
      <x:c r="E17" s="10" t="str">
        <x:v>A115</x:v>
      </x:c>
      <x:c r="F17" s="10" t="str">
        <x:v>A data-flow diagram showing collection, processing, storage and controlled sharing boundaries.</x:v>
      </x:c>
      <x:c r="G17" s="10" t="str">
        <x:v>Rework</x:v>
      </x:c>
      <x:c r="H17" s="10" t="str">
        <x:f>'Production assets'!F120</x:f>
        <x:v>Not started</x:v>
      </x:c>
      <x:c r="I17" s="10" t="str">
        <x:v>Editable SVG/layers + 1200 x 1200 WebP</x:v>
      </x:c>
      <x:c r="J17" s="10" t="str">
        <x:v>Existing product image</x:v>
      </x:c>
      <x:c r="K17" s="10" t="str">
        <x:v>/brand/platform/security-and-compliance/privacy.png</x:v>
      </x:c>
      <x:c r="L17" s="10" t="str">
        <x:v>532 x 532</x:v>
      </x:c>
      <x:c r="M17" s="10" t="str">
        <x:v>Ice blue, white, teal, deep green</x:v>
      </x:c>
      <x:c r="N17" s="10" t="str">
        <x:v>Preserve the existing CSS gradient. Export foreground separately with transparent background. Keep key UI within the central 80%.</x:v>
      </x:c>
      <x:c r="O17" s="10" t="str">
        <x:v>http://localhost:3000/platform/security-and-compliance#privacy</x:v>
      </x:c>
    </x:row>
    <x:row r="18" ht="51" customHeight="1">
      <x:c r="A18" s="5" t="str">
        <x:v>P16-13</x:v>
      </x:c>
      <x:c r="B18" s="5" t="str">
        <x:v>Security and Compliance</x:v>
      </x:c>
      <x:c r="C18" s="5" t="str">
        <x:v>Feature detail</x:v>
      </x:c>
      <x:c r="D18" s="5" t="str">
        <x:v>Make data handling explicit.</x:v>
      </x:c>
      <x:c r="E18" s="5" t="str">
        <x:v>A116</x:v>
      </x:c>
      <x:c r="F18" s="5" t="str">
        <x:v>A data-handling panel showing retention, deletion and storage settings.</x:v>
      </x:c>
      <x:c r="G18" s="5" t="str">
        <x:v>Rework</x:v>
      </x:c>
      <x:c r="H18" s="5" t="str">
        <x:f>'Production assets'!F121</x:f>
        <x:v>Not started</x:v>
      </x:c>
      <x:c r="I18" s="5" t="str">
        <x:v>Editable SVG/layers + 1200 x 1200 WebP</x:v>
      </x:c>
      <x:c r="J18" s="5" t="str">
        <x:v>Existing product image</x:v>
      </x:c>
      <x:c r="K18" s="5" t="str">
        <x:v>/brand/platform/security-and-compliance/data.png</x:v>
      </x:c>
      <x:c r="L18" s="5" t="str">
        <x:v>580 x 580</x:v>
      </x:c>
      <x:c r="M18" s="5" t="str">
        <x:v>Ice blue, white, teal, deep green</x:v>
      </x:c>
      <x:c r="N18" s="5" t="str">
        <x:v>Preserve the existing CSS gradient. Export foreground separately with transparent background. Keep key UI within the central 80%.</x:v>
      </x:c>
      <x:c r="O18" s="5" t="str">
        <x:v>http://localhost:3000/platform/security-and-compliance#data</x:v>
      </x:c>
    </x:row>
    <x:row r="19" ht="51" customHeight="1">
      <x:c r="A19" s="10" t="str">
        <x:v>P16-14</x:v>
      </x:c>
      <x:c r="B19" s="10" t="str">
        <x:v>Security and Compliance</x:v>
      </x:c>
      <x:c r="C19" s="10" t="str">
        <x:v>Feature detail</x:v>
      </x:c>
      <x:c r="D19" s="10" t="str">
        <x:v>Match access to responsibility.</x:v>
      </x:c>
      <x:c r="E19" s="10" t="str">
        <x:v>A117</x:v>
      </x:c>
      <x:c r="F19" s="10" t="str">
        <x:v>A role-and-permission matrix with a scoped access drawer and an approval step.</x:v>
      </x:c>
      <x:c r="G19" s="10" t="str">
        <x:v>Rework</x:v>
      </x:c>
      <x:c r="H19" s="10" t="str">
        <x:f>'Production assets'!F122</x:f>
        <x:v>Not started</x:v>
      </x:c>
      <x:c r="I19" s="10" t="str">
        <x:v>Editable SVG/layers + 1200 x 1200 WebP</x:v>
      </x:c>
      <x:c r="J19" s="10" t="str">
        <x:v>Existing product image</x:v>
      </x:c>
      <x:c r="K19" s="10" t="str">
        <x:v>/brand/platform/security-and-compliance/access.png</x:v>
      </x:c>
      <x:c r="L19" s="10" t="str">
        <x:v>532 x 532</x:v>
      </x:c>
      <x:c r="M19" s="10" t="str">
        <x:v>Ice blue, white, teal, deep green</x:v>
      </x:c>
      <x:c r="N19" s="10" t="str">
        <x:v>Preserve the existing CSS gradient. Export foreground separately with transparent background. Keep key UI within the central 80%.</x:v>
      </x:c>
      <x:c r="O19" s="10" t="str">
        <x:v>http://localhost:3000/platform/security-and-compliance#access</x:v>
      </x:c>
    </x:row>
    <x:row r="20" ht="51" customHeight="1">
      <x:c r="A20" s="5" t="str">
        <x:v>P16-15</x:v>
      </x:c>
      <x:c r="B20" s="5" t="str">
        <x:v>Security and Compliance</x:v>
      </x:c>
      <x:c r="C20" s="5" t="str">
        <x:v>Feature detail</x:v>
      </x:c>
      <x:c r="D20" s="5" t="str">
        <x:v>Keep actions explainable.</x:v>
      </x:c>
      <x:c r="E20" s="5" t="str">
        <x:v>A118</x:v>
      </x:c>
      <x:c r="F20" s="5" t="str">
        <x:v>An audit timeline showing actor, action, timestamp and the affected record.</x:v>
      </x:c>
      <x:c r="G20" s="5" t="str">
        <x:v>Rework</x:v>
      </x:c>
      <x:c r="H20" s="5" t="str">
        <x:f>'Production assets'!F123</x:f>
        <x:v>Not started</x:v>
      </x:c>
      <x:c r="I20" s="5" t="str">
        <x:v>Editable SVG/layers + 1200 x 1200 WebP</x:v>
      </x:c>
      <x:c r="J20" s="5" t="str">
        <x:v>Existing product image</x:v>
      </x:c>
      <x:c r="K20" s="5" t="str">
        <x:v>/brand/platform/security-and-compliance/audit.png</x:v>
      </x:c>
      <x:c r="L20" s="5" t="str">
        <x:v>580 x 580</x:v>
      </x:c>
      <x:c r="M20" s="5" t="str">
        <x:v>Ice blue, white, teal, deep green</x:v>
      </x:c>
      <x:c r="N20" s="5" t="str">
        <x:v>Preserve the existing CSS gradient. Export foreground separately with transparent background. Keep key UI within the central 80%.</x:v>
      </x:c>
      <x:c r="O20" s="5" t="str">
        <x:v>http://localhost:3000/platform/security-and-compliance#audit</x:v>
      </x:c>
    </x:row>
    <x:row r="21" ht="51" customHeight="1">
      <x:c r="A21" s="10" t="str">
        <x:v>P16-16</x:v>
      </x:c>
      <x:c r="B21" s="10" t="str">
        <x:v>Security and Compliance</x:v>
      </x:c>
      <x:c r="C21" s="10" t="str">
        <x:v>Feature detail</x:v>
      </x:c>
      <x:c r="D21" s="10" t="str">
        <x:v>Review protection across the data path.</x:v>
      </x:c>
      <x:c r="E21" s="10" t="str">
        <x:v>A119</x:v>
      </x:c>
      <x:c r="F21" s="10" t="str">
        <x:v>A data-path diagram marking transport and storage protection review points.</x:v>
      </x:c>
      <x:c r="G21" s="10" t="str">
        <x:v>Rework</x:v>
      </x:c>
      <x:c r="H21" s="10" t="str">
        <x:f>'Production assets'!F124</x:f>
        <x:v>Not started</x:v>
      </x:c>
      <x:c r="I21" s="10" t="str">
        <x:v>Editable SVG/layers + 1200 x 1200 WebP</x:v>
      </x:c>
      <x:c r="J21" s="10" t="str">
        <x:v>Existing product image</x:v>
      </x:c>
      <x:c r="K21" s="10" t="str">
        <x:v>/brand/platform/security-and-compliance/encryption.png</x:v>
      </x:c>
      <x:c r="L21" s="10" t="str">
        <x:v>532 x 532</x:v>
      </x:c>
      <x:c r="M21" s="10" t="str">
        <x:v>Ice blue, white, teal, deep green</x:v>
      </x:c>
      <x:c r="N21" s="10" t="str">
        <x:v>Preserve the existing CSS gradient. Export foreground separately with transparent background. Keep key UI within the central 80%.</x:v>
      </x:c>
      <x:c r="O21" s="10" t="str">
        <x:v>http://localhost:3000/platform/security-and-compliance#encryption</x:v>
      </x:c>
    </x:row>
    <x:row r="22" ht="51" customHeight="1">
      <x:c r="A22" s="5" t="str">
        <x:v>P16-17</x:v>
      </x:c>
      <x:c r="B22" s="5" t="str">
        <x:v>Security and Compliance</x:v>
      </x:c>
      <x:c r="C22" s="5" t="str">
        <x:v>Feature detail</x:v>
      </x:c>
      <x:c r="D22" s="5" t="str">
        <x:v>Review the inputs and actions an agent can use.</x:v>
      </x:c>
      <x:c r="E22" s="5" t="str">
        <x:v>A120</x:v>
      </x:c>
      <x:c r="F22" s="5" t="str">
        <x:v>An agent boundary view showing allowed inputs, scoped tools and restricted actions.</x:v>
      </x:c>
      <x:c r="G22" s="5" t="str">
        <x:v>Rework</x:v>
      </x:c>
      <x:c r="H22" s="5" t="str">
        <x:f>'Production assets'!F125</x:f>
        <x:v>Not started</x:v>
      </x:c>
      <x:c r="I22" s="5" t="str">
        <x:v>Editable SVG/layers + 1200 x 1200 WebP</x:v>
      </x:c>
      <x:c r="J22" s="5" t="str">
        <x:v>Existing product image</x:v>
      </x:c>
      <x:c r="K22" s="5" t="str">
        <x:v>/brand/platform/security-and-compliance/ai-security.png</x:v>
      </x:c>
      <x:c r="L22" s="5" t="str">
        <x:v>580 x 580</x:v>
      </x:c>
      <x:c r="M22" s="5" t="str">
        <x:v>Ice blue, white, teal, deep green</x:v>
      </x:c>
      <x:c r="N22" s="5" t="str">
        <x:v>Preserve the existing CSS gradient. Export foreground separately with transparent background. Keep key UI within the central 80%.</x:v>
      </x:c>
      <x:c r="O22" s="5" t="str">
        <x:v>http://localhost:3000/platform/security-and-compliance#ai-security</x:v>
      </x:c>
    </x:row>
    <x:row r="23" ht="51" customHeight="1">
      <x:c r="A23" s="10" t="str">
        <x:v>P16-18</x:v>
      </x:c>
      <x:c r="B23" s="10" t="str">
        <x:v>Security and Compliance</x:v>
      </x:c>
      <x:c r="C23" s="10" t="str">
        <x:v>Feature detail</x:v>
      </x:c>
      <x:c r="D23" s="10" t="str">
        <x:v>Include infrastructure in the security review.</x:v>
      </x:c>
      <x:c r="E23" s="10" t="str">
        <x:v>A121</x:v>
      </x:c>
      <x:c r="F23" s="10" t="str">
        <x:v>An infrastructure security diagram separating network, workload and administrative access.</x:v>
      </x:c>
      <x:c r="G23" s="10" t="str">
        <x:v>Rework</x:v>
      </x:c>
      <x:c r="H23" s="10" t="str">
        <x:f>'Production assets'!F126</x:f>
        <x:v>Not started</x:v>
      </x:c>
      <x:c r="I23" s="10" t="str">
        <x:v>Editable SVG/layers + 1200 x 1200 WebP</x:v>
      </x:c>
      <x:c r="J23" s="10" t="str">
        <x:v>Existing product image</x:v>
      </x:c>
      <x:c r="K23" s="10" t="str">
        <x:v>/brand/platform/security-and-compliance/deployment-innflow.png</x:v>
      </x:c>
      <x:c r="L23" s="10" t="str">
        <x:v>532 x 532</x:v>
      </x:c>
      <x:c r="M23" s="10" t="str">
        <x:v>Ice blue, white, teal, deep green</x:v>
      </x:c>
      <x:c r="N23" s="10" t="str">
        <x:v>Preserve the existing CSS gradient. Export foreground separately with transparent background. Keep key UI within the central 80%.</x:v>
      </x:c>
      <x:c r="O23" s="10" t="str">
        <x:v>http://localhost:3000/platform/security-and-compliance#deployment</x:v>
      </x:c>
    </x:row>
    <x:row r="24" ht="38" customHeight="1">
      <x:c r="A24" s="5" t="str">
        <x:v>P16-19</x:v>
      </x:c>
      <x:c r="B24" s="5" t="str">
        <x:v>Security and Compliance</x:v>
      </x:c>
      <x:c r="C24" s="5" t="str">
        <x:v>Related product thumbnail</x:v>
      </x:c>
      <x:c r="D24" s="5" t="str">
        <x:v>Platform</x:v>
      </x:c>
      <x:c r="E24" s="5" t="str">
        <x:v>A015</x:v>
      </x:c>
      <x:c r="F24" s="5" t="str">
        <x:v>A compact workspace overview linking agents, tools and shared knowledge.</x:v>
      </x:c>
      <x:c r="G24" s="5" t="str">
        <x:v>Create</x:v>
      </x:c>
      <x:c r="H24" s="5" t="str">
        <x:f>'Production assets'!F20</x:f>
        <x:v>Not started</x:v>
      </x:c>
      <x:c r="I24" s="5" t="str">
        <x:v>Editable SVG + 1200 x 1000 WebP</x:v>
      </x:c>
      <x:c r="J24" s="5" t="str">
        <x:v>Generic star on gradient</x:v>
      </x:c>
      <x:c r="K24" s="5" t="str">
        <x:v>/brand/calendly/assistant-hero.svg + star glyph</x:v>
      </x:c>
      <x:c r="L24" s="5" t="str">
        <x:v>227 x 189</x:v>
      </x:c>
      <x:c r="M24" s="5" t="str">
        <x:v>Ice blue, white, teal, deep green</x:v>
      </x:c>
      <x:c r="N24" s="5" t="str">
        <x:v>Create once and reuse across related-product cards and the Platform card rail. Keep the gradient separate.</x:v>
      </x:c>
      <x:c r="O24" s="5" t="str">
        <x:v>http://localhost:3000/platform/security-and-compliance</x:v>
      </x:c>
    </x:row>
    <x:row r="25" ht="38" customHeight="1">
      <x:c r="A25" s="10" t="str">
        <x:v>P16-20</x:v>
      </x:c>
      <x:c r="B25" s="10" t="str">
        <x:v>Security and Compliance</x:v>
      </x:c>
      <x:c r="C25" s="10" t="str">
        <x:v>Related product thumbnail</x:v>
      </x:c>
      <x:c r="D25" s="10" t="str">
        <x:v>Integrations</x:v>
      </x:c>
      <x:c r="E25" s="10" t="str">
        <x:v>A006</x:v>
      </x:c>
      <x:c r="F25" s="10" t="str">
        <x:v>A central Innflow node connected to a small set of tool tiles.</x:v>
      </x:c>
      <x:c r="G25" s="10" t="str">
        <x:v>Create</x:v>
      </x:c>
      <x:c r="H25" s="10" t="str">
        <x:f>'Production assets'!F11</x:f>
        <x:v>Not started</x:v>
      </x:c>
      <x:c r="I25" s="10" t="str">
        <x:v>Editable SVG + 1200 x 1000 WebP</x:v>
      </x:c>
      <x:c r="J25" s="10" t="str">
        <x:v>Generic star on gradient</x:v>
      </x:c>
      <x:c r="K25" s="10" t="str">
        <x:v>/brand/calendly/scheduling-hero.svg + star glyph</x:v>
      </x:c>
      <x:c r="L25" s="10" t="str">
        <x:v>227 x 189</x:v>
      </x:c>
      <x:c r="M25" s="10" t="str">
        <x:v>Sky blue, pale aqua, navy</x:v>
      </x:c>
      <x:c r="N25" s="10" t="str">
        <x:v>Create once and reuse across related-product cards and the Platform card rail. Keep the gradient separate.</x:v>
      </x:c>
      <x:c r="O25" s="10" t="str">
        <x:v>http://localhost:3000/platform/security-and-compliance</x:v>
      </x:c>
    </x:row>
    <x:row r="26" ht="38" customHeight="1">
      <x:c r="A26" s="5" t="str">
        <x:v>P16-21</x:v>
      </x:c>
      <x:c r="B26" s="5" t="str">
        <x:v>Security and Compliance</x:v>
      </x:c>
      <x:c r="C26" s="5" t="str">
        <x:v>Related product thumbnail</x:v>
      </x:c>
      <x:c r="D26" s="5" t="str">
        <x:v>Agentic Workflows</x:v>
      </x:c>
      <x:c r="E26" s="5" t="str">
        <x:v>A010</x:v>
      </x:c>
      <x:c r="F26" s="5" t="str">
        <x:v>A compact workflow canvas with trigger, branch and action nodes.</x:v>
      </x:c>
      <x:c r="G26" s="5" t="str">
        <x:v>Create</x:v>
      </x:c>
      <x:c r="H26" s="5" t="str">
        <x:f>'Production assets'!F15</x:f>
        <x:v>Not started</x:v>
      </x:c>
      <x:c r="I26" s="5" t="str">
        <x:v>Editable SVG + 1200 x 1000 WebP</x:v>
      </x:c>
      <x:c r="J26" s="5" t="str">
        <x:v>Generic star on gradient</x:v>
      </x:c>
      <x:c r="K26" s="5" t="str">
        <x:v>/brand/calendly/notetaker-hero.svg + star glyph</x:v>
      </x:c>
      <x:c r="L26" s="5" t="str">
        <x:v>227 x 189</x:v>
      </x:c>
      <x:c r="M26" s="5" t="str">
        <x:v>Navy, blue, blush, lavender</x:v>
      </x:c>
      <x:c r="N26" s="5" t="str">
        <x:v>Create once and reuse across related-product cards and the Platform card rail. Keep the gradient separate.</x:v>
      </x:c>
      <x:c r="O26" s="5" t="str">
        <x:v>http://localhost:3000/platform/security-and-compliance</x:v>
      </x:c>
    </x:row>
    <x:row r="27" ht="38" customHeight="1">
      <x:c r="A27" s="10" t="str">
        <x:v>P16-22</x:v>
      </x:c>
      <x:c r="B27" s="10" t="str">
        <x:v>Security and Compliance</x:v>
      </x:c>
      <x:c r="C27" s="10" t="str">
        <x:v>Related product thumbnail</x:v>
      </x:c>
      <x:c r="D27" s="10" t="str">
        <x:v>Agent OS</x:v>
      </x:c>
      <x:c r="E27" s="10" t="str">
        <x:v>A011</x:v>
      </x:c>
      <x:c r="F27" s="10" t="str">
        <x:v>A small orchestration graph connecting agents and shared memory.</x:v>
      </x:c>
      <x:c r="G27" s="10" t="str">
        <x:v>Create</x:v>
      </x:c>
      <x:c r="H27" s="10" t="str">
        <x:f>'Production assets'!F16</x:f>
        <x:v>Not started</x:v>
      </x:c>
      <x:c r="I27" s="10" t="str">
        <x:v>Editable SVG + 1200 x 1000 WebP</x:v>
      </x:c>
      <x:c r="J27" s="10" t="str">
        <x:v>Generic star on gradient</x:v>
      </x:c>
      <x:c r="K27" s="10" t="str">
        <x:v>/brand/calendly/contacts-hero.svg + star glyph</x:v>
      </x:c>
      <x:c r="L27" s="10" t="str">
        <x:v>227 x 189</x:v>
      </x:c>
      <x:c r="M27" s="10" t="str">
        <x:v>Cream, peach, pink, blue</x:v>
      </x:c>
      <x:c r="N27" s="10" t="str">
        <x:v>Create once and reuse across related-product cards and the Platform card rail. Keep the gradient separate.</x:v>
      </x:c>
      <x:c r="O27" s="10" t="str">
        <x:v>http://localhost:3000/platform/security-and-compliance</x:v>
      </x:c>
    </x:row>
    <x:row r="28" ht="38" customHeight="1">
      <x:c r="A28" s="5" t="str">
        <x:v>P16-23</x:v>
      </x:c>
      <x:c r="B28" s="5" t="str">
        <x:v>Security and Compliance</x:v>
      </x:c>
      <x:c r="C28" s="5" t="str">
        <x:v>Related product thumbnail</x:v>
      </x:c>
      <x:c r="D28" s="5" t="str">
        <x:v>AI Agents</x:v>
      </x:c>
      <x:c r="E28" s="5" t="str">
        <x:v>A012</x:v>
      </x:c>
      <x:c r="F28" s="5" t="str">
        <x:v>An agent task card with linked evidence and a proposed next action.</x:v>
      </x:c>
      <x:c r="G28" s="5" t="str">
        <x:v>Create</x:v>
      </x:c>
      <x:c r="H28" s="5" t="str">
        <x:f>'Production assets'!F17</x:f>
        <x:v>Not started</x:v>
      </x:c>
      <x:c r="I28" s="5" t="str">
        <x:v>Editable SVG + 1200 x 1000 WebP</x:v>
      </x:c>
      <x:c r="J28" s="5" t="str">
        <x:v>Generic star on gradient</x:v>
      </x:c>
      <x:c r="K28" s="5" t="str">
        <x:v>/brand/calendly/payments-hero.svg + star glyph</x:v>
      </x:c>
      <x:c r="L28" s="5" t="str">
        <x:v>227 x 189</x:v>
      </x:c>
      <x:c r="M28" s="5" t="str">
        <x:v>Pale mint, aqua, blue, navy</x:v>
      </x:c>
      <x:c r="N28" s="5" t="str">
        <x:v>Create once and reuse across related-product cards and the Platform card rail. Keep the gradient separate.</x:v>
      </x:c>
      <x:c r="O28" s="5" t="str">
        <x:v>http://localhost:3000/platform/security-and-compliance</x:v>
      </x:c>
    </x:row>
  </x:sheetData>
  <x:pageMargins left="0.7" right="0.7" top="0.75" bottom="0.75" header="0.3" footer="0.3"/>
  <x:tableParts count="1">
    <x:tablePart xmlns:r="http://schemas.openxmlformats.org/officeDocument/2006/relationships" r:id="Rf99bbf45bb8f403e"/>
  </x:tableParts>
</x:worksheet>
</file>